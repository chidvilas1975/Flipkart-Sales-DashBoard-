
<file path=[Content_Types].xml><?xml version="1.0" encoding="utf-8"?>
<Types xmlns="http://schemas.openxmlformats.org/package/2006/content-types">
  <Override PartName="/xl/pivotTables/pivotTable6.xml" ContentType="application/vnd.openxmlformats-officedocument.spreadsheetml.pivotTable+xml"/>
  <Override PartName="/xl/charts/chart6.xml" ContentType="application/vnd.openxmlformats-officedocument.drawingml.chart+xml"/>
  <Override PartName="/xl/charts/style8.xml" ContentType="application/vnd.ms-office.chartstyle+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pivotTables/pivotTable4.xml" ContentType="application/vnd.openxmlformats-officedocument.spreadsheetml.pivotTable+xml"/>
  <Override PartName="/xl/charts/style6.xml" ContentType="application/vnd.ms-office.chartstyle+xml"/>
  <Override PartName="/xl/charts/chart2.xml" ContentType="application/vnd.openxmlformats-officedocument.drawingml.chart+xml"/>
  <Override PartName="/xl/pivotTables/pivotTable2.xml" ContentType="application/vnd.openxmlformats-officedocument.spreadsheetml.pivotTable+xml"/>
  <Override PartName="/xl/charts/style4.xml" ContentType="application/vnd.ms-office.chartstyle+xml"/>
  <Default Extension="rels" ContentType="application/vnd.openxmlformats-package.relationships+xml"/>
  <Default Extension="xml" ContentType="application/xml"/>
  <Override PartName="/xl/drawings/drawing2.xml" ContentType="application/vnd.openxmlformats-officedocument.drawing+xml"/>
  <Override PartName="/xl/charts/colors9.xml" ContentType="application/vnd.ms-office.chartcolorstyle+xml"/>
  <Override PartName="/xl/charts/style2.xml" ContentType="application/vnd.ms-office.chartstyle+xml"/>
  <Override PartName="/xl/charts/colors13.xml" ContentType="application/vnd.ms-office.chartcolorsty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olors7.xml" ContentType="application/vnd.ms-office.chartcolorstyle+xml"/>
  <Override PartName="/xl/charts/colors6.xml" ContentType="application/vnd.ms-office.chartcolorstyle+xml"/>
  <Override PartName="/xl/charts/colors12.xml" ContentType="application/vnd.ms-office.chartcolorstyle+xml"/>
  <Override PartName="/xl/charts/style12.xml" ContentType="application/vnd.ms-office.chartstyle+xml"/>
  <Override PartName="/xl/charts/style13.xml" ContentType="application/vnd.ms-office.chartstyle+xml"/>
  <Override PartName="/xl/charts/colors11.xml" ContentType="application/vnd.ms-office.chartcolorstyle+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charts/colors10.xml" ContentType="application/vnd.ms-office.chartcolorstyle+xml"/>
  <Override PartName="/xl/charts/style10.xml" ContentType="application/vnd.ms-office.chartstyle+xml"/>
  <Override PartName="/xl/charts/colors4.xml" ContentType="application/vnd.ms-office.chartcolorstyle+xml"/>
  <Override PartName="/xl/charts/colors5.xml" ContentType="application/vnd.ms-office.chartcolorstyle+xml"/>
  <Override PartName="/xl/charts/style11.xml" ContentType="application/vnd.ms-office.chartstyle+xml"/>
  <Override PartName="/xl/sharedStrings.xml" ContentType="application/vnd.openxmlformats-officedocument.spreadsheetml.sharedStrings+xml"/>
  <Override PartName="/xl/charts/chartEx2.xml" ContentType="application/vnd.ms-office.chartex+xml"/>
  <Override PartName="/xl/charts/colors2.xml" ContentType="application/vnd.ms-office.chartcolorstyle+xml"/>
  <Override PartName="/xl/charts/colors3.xml" ContentType="application/vnd.ms-office.chartcolorstyle+xml"/>
  <Override PartName="/xl/pivotCache/pivotCacheRecords1.xml" ContentType="application/vnd.openxmlformats-officedocument.spreadsheetml.pivotCacheRecords+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slicers/slicer1.xml" ContentType="application/vnd.ms-excel.slicer+xml"/>
  <Override PartName="/xl/charts/chartEx1.xml" ContentType="application/vnd.ms-office.chartex+xml"/>
  <Override PartName="/xl/slicers/slicer2.xml" ContentType="application/vnd.ms-excel.slicer+xml"/>
  <Override PartName="/xl/charts/colors1.xml" ContentType="application/vnd.ms-office.chartcolorstyle+xml"/>
  <Override PartName="/docProps/core.xml" ContentType="application/vnd.openxmlformats-package.core-properties+xml"/>
  <Default Extension="png" ContentType="image/png"/>
  <Override PartName="/xl/pivotTables/pivotTable5.xml" ContentType="application/vnd.openxmlformats-officedocument.spreadsheetml.pivotTable+xml"/>
  <Override PartName="/xl/charts/chart7.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tables/table1.xml" ContentType="application/vnd.openxmlformats-officedocument.spreadsheetml.table+xml"/>
  <Override PartName="/xl/charts/chart5.xml" ContentType="application/vnd.openxmlformats-officedocument.drawingml.chart+xml"/>
  <Override PartName="/xl/pivotTables/pivotTable3.xml" ContentType="application/vnd.openxmlformats-officedocument.spreadsheetml.pivotTable+xml"/>
  <Override PartName="/xl/slicerCaches/slicerCache1.xml" ContentType="application/vnd.ms-excel.slicerCache+xml"/>
  <Override PartName="/xl/charts/style7.xml" ContentType="application/vnd.ms-office.chartstyle+xml"/>
  <Override PartName="/xl/charts/chart3.xml" ContentType="application/vnd.openxmlformats-officedocument.drawingml.chart+xml"/>
  <Default Extension="jpeg" ContentType="image/jpeg"/>
  <Override PartName="/xl/pivotTables/pivotTable1.xml" ContentType="application/vnd.openxmlformats-officedocument.spreadsheetml.pivotTable+xml"/>
  <Override PartName="/xl/charts/style5.xml" ContentType="application/vnd.ms-office.chartstyle+xml"/>
  <Override PartName="/xl/workbook.xml" ContentType="application/vnd.openxmlformats-officedocument.spreadsheetml.sheet.main+xml"/>
  <Override PartName="/xl/charts/chart1.xml" ContentType="application/vnd.openxmlformats-officedocument.drawingml.chart+xml"/>
  <Override PartName="/xl/charts/colors8.xml" ContentType="application/vnd.ms-office.chartcolorstyle+xml"/>
  <Override PartName="/xl/charts/style3.xml" ContentType="application/vnd.ms-office.chartstyle+xml"/>
  <Override PartName="/xl/charts/style1.xml" ContentType="application/vnd.ms-office.chartstyle+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hidePivotFieldList="1" defaultThemeVersion="124226"/>
  <bookViews>
    <workbookView xWindow="-108" yWindow="-108" windowWidth="23256" windowHeight="13176" activeTab="1"/>
  </bookViews>
  <sheets>
    <sheet name="DATA" sheetId="1" r:id="rId1"/>
    <sheet name="DASHBOARD" sheetId="14" r:id="rId2"/>
    <sheet name="KPI" sheetId="7" r:id="rId3"/>
  </sheets>
  <definedNames>
    <definedName name="_xlchart.v1.0" hidden="1">KPI!$R$47:$R$71</definedName>
    <definedName name="_xlchart.v1.1" hidden="1">KPI!$S$47:$S$71</definedName>
    <definedName name="_xlchart.v1.2" hidden="1">KPI!$R$47:$R$71</definedName>
    <definedName name="_xlchart.v1.3" hidden="1">KPI!$S$47:$S$71</definedName>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1" i="7"/>
  <c r="T56"/>
  <c r="S50"/>
  <c r="T68"/>
  <c r="T63"/>
  <c r="S47"/>
  <c r="T71"/>
  <c r="S49"/>
  <c r="T64"/>
  <c r="S70"/>
  <c r="S54"/>
  <c r="T66"/>
  <c r="T57"/>
  <c r="B13"/>
  <c r="T55"/>
  <c r="I13"/>
  <c r="S71"/>
  <c r="T50"/>
  <c r="S55"/>
  <c r="T48"/>
  <c r="S61"/>
  <c r="S67"/>
  <c r="T61"/>
  <c r="T60"/>
  <c r="T65"/>
  <c r="S59"/>
  <c r="T67"/>
  <c r="T62"/>
  <c r="S66"/>
  <c r="T59"/>
  <c r="T53"/>
  <c r="T54"/>
  <c r="S64"/>
  <c r="S52"/>
  <c r="S57"/>
  <c r="S53"/>
  <c r="S62"/>
  <c r="S69"/>
  <c r="S58"/>
  <c r="T52"/>
  <c r="T58"/>
  <c r="E13"/>
  <c r="T69"/>
  <c r="T49"/>
  <c r="S60"/>
  <c r="S65"/>
  <c r="T70"/>
  <c r="S56"/>
  <c r="S68"/>
  <c r="S63"/>
  <c r="S51"/>
  <c r="S48"/>
</calcChain>
</file>

<file path=xl/sharedStrings.xml><?xml version="1.0" encoding="utf-8"?>
<sst xmlns="http://schemas.openxmlformats.org/spreadsheetml/2006/main" count="1368" uniqueCount="74">
  <si>
    <t>DATE</t>
  </si>
  <si>
    <t>NAME</t>
  </si>
  <si>
    <t>CATEGORY</t>
  </si>
  <si>
    <t>PRODUCT NAME</t>
  </si>
  <si>
    <t>STATE</t>
  </si>
  <si>
    <t>GENDER</t>
  </si>
  <si>
    <t>QUANTITY</t>
  </si>
  <si>
    <t>COST</t>
  </si>
  <si>
    <t>PRICE</t>
  </si>
  <si>
    <t>PURCHASE COST</t>
  </si>
  <si>
    <t>SALES PRICE</t>
  </si>
  <si>
    <t>PROFIT</t>
  </si>
  <si>
    <t>AMAN</t>
  </si>
  <si>
    <t>COSMETICS</t>
  </si>
  <si>
    <t>CREAM</t>
  </si>
  <si>
    <t>MAHARASHTRA</t>
  </si>
  <si>
    <t>FEMALE</t>
  </si>
  <si>
    <t>PRIYA</t>
  </si>
  <si>
    <t>GROCERIES</t>
  </si>
  <si>
    <t>WHEAT</t>
  </si>
  <si>
    <t>TAMIL NADU</t>
  </si>
  <si>
    <t>MALE</t>
  </si>
  <si>
    <t>KARNATAKA</t>
  </si>
  <si>
    <t>RICE</t>
  </si>
  <si>
    <t>AVINASH</t>
  </si>
  <si>
    <t>SPICES</t>
  </si>
  <si>
    <t>GUJARAT</t>
  </si>
  <si>
    <t>RAHUL</t>
  </si>
  <si>
    <t>FURNITURE</t>
  </si>
  <si>
    <t>TABLE</t>
  </si>
  <si>
    <t>ROHAN</t>
  </si>
  <si>
    <t>DELHI</t>
  </si>
  <si>
    <t>SNEHA</t>
  </si>
  <si>
    <t>FASHION</t>
  </si>
  <si>
    <t>SHOES</t>
  </si>
  <si>
    <t>PERFUME</t>
  </si>
  <si>
    <t>ELECTRONICS</t>
  </si>
  <si>
    <t>LAPTOP</t>
  </si>
  <si>
    <t>NEHA</t>
  </si>
  <si>
    <t>SHIRT</t>
  </si>
  <si>
    <t>JEANS</t>
  </si>
  <si>
    <t>SUGAR</t>
  </si>
  <si>
    <t>JACKET</t>
  </si>
  <si>
    <t>LIPSTICK</t>
  </si>
  <si>
    <t>CAMERA</t>
  </si>
  <si>
    <t>TABLET</t>
  </si>
  <si>
    <t>DIVYA</t>
  </si>
  <si>
    <t>HEADPHONES</t>
  </si>
  <si>
    <t>OIL</t>
  </si>
  <si>
    <t>BED</t>
  </si>
  <si>
    <t>MOBILE</t>
  </si>
  <si>
    <t>SOFA</t>
  </si>
  <si>
    <t>FOUNDATION</t>
  </si>
  <si>
    <t>LOTION</t>
  </si>
  <si>
    <t>CHAIR</t>
  </si>
  <si>
    <t>DRESS</t>
  </si>
  <si>
    <t>WARDROBE</t>
  </si>
  <si>
    <t>Row Labels</t>
  </si>
  <si>
    <t>Grand Total</t>
  </si>
  <si>
    <t>Sum of SALES PRICE</t>
  </si>
  <si>
    <t>Sum of PURCHASE COST</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</si>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</sst>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5" fontId="0" fillId="0" borderId="0" xfId="0" applyNumberFormat="1"/>
    <xf numFmtId="0" fontId="0" fillId="0" borderId="1" xfId="0" applyBorder="1" applyAlignment="1">
      <alignment horizontal="center"/>
    </xf>
    <xf numFmtId="0" fontId="0" fillId="0" borderId="0" xfId="0" pivotButton="1"/>
    <xf numFmtId="0" fontId="0" fillId="0" borderId="0" xfId="0" applyAlignment="1">
      <alignment horizontal="left"/>
    </xf>
    <xf numFmtId="0" fontId="1" fillId="2" borderId="2" xfId="0" applyFont="1" applyFill="1" applyBorder="1"/>
    <xf numFmtId="10" fontId="0" fillId="0" borderId="0" xfId="0" applyNumberFormat="1"/>
    <xf numFmtId="0" fontId="1" fillId="2" borderId="3" xfId="0" applyFont="1" applyFill="1" applyBorder="1" applyAlignment="1">
      <alignment horizontal="left"/>
    </xf>
    <xf numFmtId="10" fontId="0" fillId="0" borderId="0" xfId="1" applyNumberFormat="1" applyFont="1"/>
    <xf numFmtId="15" fontId="0" fillId="0" borderId="4" xfId="0" applyNumberFormat="1" applyBorder="1" applyAlignment="1">
      <alignment horizontal="center"/>
    </xf>
    <xf numFmtId="0" fontId="0" fillId="0" borderId="5" xfId="0" applyBorder="1" applyAlignment="1">
      <alignment horizontal="center"/>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8" xfId="0" applyFont="1" applyBorder="1" applyAlignment="1">
      <alignment horizontal="center" vertical="top"/>
    </xf>
    <xf numFmtId="15" fontId="0" fillId="0" borderId="9" xfId="0" applyNumberFormat="1" applyBorder="1" applyAlignment="1">
      <alignment horizontal="center"/>
    </xf>
    <xf numFmtId="0" fontId="0" fillId="0" borderId="10" xfId="0" applyBorder="1" applyAlignment="1">
      <alignment horizontal="center"/>
    </xf>
    <xf numFmtId="0" fontId="0" fillId="0" borderId="11" xfId="0" applyBorder="1" applyAlignment="1">
      <alignment horizontal="center"/>
    </xf>
  </cellXfs>
  <cellStyles count="2">
    <cellStyle name="Normal" xfId="0" builtinId="0"/>
    <cellStyle name="Percent" xfId="1" builtinId="5"/>
  </cellStyles>
  <dxfs count="17">
    <dxf>
      <alignment horizontal="center" vertical="bottom" textRotation="0" wrapText="0" indent="0" relativeIndent="255"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numFmt numFmtId="20" formatCode="dd/mmm/yy"/>
      <alignment horizontal="center" vertical="bottom" textRotation="0" wrapText="0" indent="0" relativeIndent="255"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relativeIndent="255"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[Flipkart Sales DashBoard.xlsx]KPI!TOTAL SALE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5954081821281429"/>
              <c:y val="0.20352469572917553"/>
            </c:manualLayout>
          </c:layout>
          <c:showPercent val="1"/>
          <c:extLst xmlns:c16r2="http://schemas.microsoft.com/office/drawing/2015/06/chart">
            <c:ext xmlns:c15="http://schemas.microsoft.com/office/drawing/2012/chart" uri="{CE6537A1-D6FC-4f65-9D91-7224C49458BB}">
              <c15:layout>
                <c:manualLayout>
                  <c:w val="0.23089789250704162"/>
                  <c:h val="0.18302400274597297"/>
                </c:manualLayout>
              </c15:layout>
            </c:ext>
            <c:ext xmlns:c16="http://schemas.microsoft.com/office/drawing/2014/chart" uri="{C3380CC4-5D6E-409C-BE32-E72D297353CC}">
              <c16:uniqueId val="{00000001-CD17-4533-A16D-D0438880F92C}"/>
            </c:ext>
          </c:extLst>
        </c:dLbl>
      </c:pivotFmt>
      <c:pivotFmt>
        <c:idx val="9"/>
        <c:spPr>
          <a:solidFill>
            <a:srgbClr val="FFFF00"/>
          </a:solidFill>
          <a:ln w="19050">
            <a:solidFill>
              <a:schemeClr val="lt1"/>
            </a:solidFill>
          </a:ln>
          <a:effectLst/>
        </c:spPr>
      </c:pivotFmt>
      <c:pivotFmt>
        <c:idx val="10"/>
        <c:spPr>
          <a:solidFill>
            <a:srgbClr val="00B050"/>
          </a:solidFill>
          <a:ln w="19050">
            <a:solidFill>
              <a:schemeClr val="lt1"/>
            </a:solidFill>
          </a:ln>
          <a:effectLst/>
        </c:spPr>
        <c:dLbl>
          <c:idx val="0"/>
          <c:layout>
            <c:manualLayout>
              <c:x val="-0.14121647434817794"/>
              <c:y val="-0.17661769393073629"/>
            </c:manualLayout>
          </c:layout>
          <c:showPercent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CD17-4533-A16D-D0438880F92C}"/>
            </c:ext>
          </c:extLst>
        </c:dLbl>
      </c:pivotFmt>
      <c:pivotFmt>
        <c:idx val="11"/>
        <c:spPr>
          <a:solidFill>
            <a:srgbClr val="00B0F0"/>
          </a:solidFill>
          <a:ln w="19050">
            <a:solidFill>
              <a:schemeClr val="lt1"/>
            </a:solidFill>
          </a:ln>
          <a:effectLst/>
        </c:spPr>
      </c:pivotFmt>
      <c:pivotFmt>
        <c:idx val="12"/>
        <c:spPr>
          <a:solidFill>
            <a:srgbClr val="C00000"/>
          </a:solidFill>
          <a:ln w="19050">
            <a:solidFill>
              <a:schemeClr val="lt1"/>
            </a:solidFill>
          </a:ln>
          <a:effectLst/>
        </c:spPr>
      </c:pivotFmt>
    </c:pivotFmts>
    <c:plotArea>
      <c:layout/>
      <c:pieChart>
        <c:varyColors val="1"/>
        <c:ser>
          <c:idx val="0"/>
          <c:order val="0"/>
          <c:tx>
            <c:strRef>
              <c:f>KPI!$B$15</c:f>
              <c:strCache>
                <c:ptCount val="1"/>
                <c:pt idx="0">
                  <c:v>Total</c:v>
                </c:pt>
              </c:strCache>
            </c:strRef>
          </c:tx>
          <c:dPt>
            <c:idx val="0"/>
            <c:spPr>
              <a:solidFill>
                <a:srgbClr val="FFC000"/>
              </a:solidFill>
              <a:ln w="19050">
                <a:solidFill>
                  <a:schemeClr val="lt1"/>
                </a:solidFill>
              </a:ln>
              <a:effectLst/>
            </c:spPr>
            <c:extLst xmlns:c16r2="http://schemas.microsoft.com/office/drawing/2015/06/chart">
              <c:ext xmlns:c16="http://schemas.microsoft.com/office/drawing/2014/chart" uri="{C3380CC4-5D6E-409C-BE32-E72D297353CC}">
                <c16:uniqueId val="{00000001-CD17-4533-A16D-D0438880F92C}"/>
              </c:ext>
            </c:extLst>
          </c:dPt>
          <c:dPt>
            <c:idx val="1"/>
            <c:spPr>
              <a:solidFill>
                <a:srgbClr val="FFFF00"/>
              </a:solidFill>
              <a:ln w="19050">
                <a:solidFill>
                  <a:schemeClr val="lt1"/>
                </a:solidFill>
              </a:ln>
              <a:effectLst/>
            </c:spPr>
            <c:extLst xmlns:c16r2="http://schemas.microsoft.com/office/drawing/2015/06/chart">
              <c:ext xmlns:c16="http://schemas.microsoft.com/office/drawing/2014/chart" uri="{C3380CC4-5D6E-409C-BE32-E72D297353CC}">
                <c16:uniqueId val="{00000003-CD17-4533-A16D-D0438880F92C}"/>
              </c:ext>
            </c:extLst>
          </c:dPt>
          <c:dPt>
            <c:idx val="2"/>
            <c:spPr>
              <a:solidFill>
                <a:srgbClr val="00B050"/>
              </a:solidFill>
              <a:ln w="19050">
                <a:solidFill>
                  <a:schemeClr val="lt1"/>
                </a:solidFill>
              </a:ln>
              <a:effectLst/>
            </c:spPr>
            <c:extLst xmlns:c16r2="http://schemas.microsoft.com/office/drawing/2015/06/chart">
              <c:ext xmlns:c16="http://schemas.microsoft.com/office/drawing/2014/chart" uri="{C3380CC4-5D6E-409C-BE32-E72D297353CC}">
                <c16:uniqueId val="{00000005-CD17-4533-A16D-D0438880F92C}"/>
              </c:ext>
            </c:extLst>
          </c:dPt>
          <c:dPt>
            <c:idx val="3"/>
            <c:spPr>
              <a:solidFill>
                <a:srgbClr val="00B0F0"/>
              </a:solidFill>
              <a:ln w="19050">
                <a:solidFill>
                  <a:schemeClr val="lt1"/>
                </a:solidFill>
              </a:ln>
              <a:effectLst/>
            </c:spPr>
            <c:extLst xmlns:c16r2="http://schemas.microsoft.com/office/drawing/2015/06/chart">
              <c:ext xmlns:c16="http://schemas.microsoft.com/office/drawing/2014/chart" uri="{C3380CC4-5D6E-409C-BE32-E72D297353CC}">
                <c16:uniqueId val="{00000007-CD17-4533-A16D-D0438880F92C}"/>
              </c:ext>
            </c:extLst>
          </c:dPt>
          <c:dPt>
            <c:idx val="4"/>
            <c:spPr>
              <a:solidFill>
                <a:srgbClr val="C00000"/>
              </a:solidFill>
              <a:ln w="19050">
                <a:solidFill>
                  <a:schemeClr val="lt1"/>
                </a:solidFill>
              </a:ln>
              <a:effectLst/>
            </c:spPr>
            <c:extLst xmlns:c16r2="http://schemas.microsoft.com/office/drawing/2015/06/chart">
              <c:ext xmlns:c16="http://schemas.microsoft.com/office/drawing/2014/chart" uri="{C3380CC4-5D6E-409C-BE32-E72D297353CC}">
                <c16:uniqueId val="{00000009-CD17-4533-A16D-D0438880F92C}"/>
              </c:ext>
            </c:extLst>
          </c:dPt>
          <c:dLbls>
            <c:dLbl>
              <c:idx val="0"/>
              <c:layout>
                <c:manualLayout>
                  <c:x val="-0.15954081821281429"/>
                  <c:y val="0.20352469572917553"/>
                </c:manualLayout>
              </c:layout>
              <c:showPercent val="1"/>
              <c:extLst xmlns:c16r2="http://schemas.microsoft.com/office/drawing/2015/06/chart">
                <c:ext xmlns:c15="http://schemas.microsoft.com/office/drawing/2012/chart" uri="{CE6537A1-D6FC-4f65-9D91-7224C49458BB}">
                  <c15:layout>
                    <c:manualLayout>
                      <c:w val="0.23089789250704162"/>
                      <c:h val="0.18302400274597297"/>
                    </c:manualLayout>
                  </c15:layout>
                </c:ext>
                <c:ext xmlns:c16="http://schemas.microsoft.com/office/drawing/2014/chart" uri="{C3380CC4-5D6E-409C-BE32-E72D297353CC}">
                  <c16:uniqueId val="{00000001-CD17-4533-A16D-D0438880F92C}"/>
                </c:ext>
              </c:extLst>
            </c:dLbl>
            <c:dLbl>
              <c:idx val="2"/>
              <c:layout>
                <c:manualLayout>
                  <c:x val="-0.14121647434817794"/>
                  <c:y val="-0.17661769393073629"/>
                </c:manualLayout>
              </c:layout>
              <c:showPercent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CD17-4533-A16D-D0438880F9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Percent val="1"/>
          </c:dLbls>
          <c:cat>
            <c:strRef>
              <c:f>KPI!$A$16:$A$21</c:f>
              <c:strCache>
                <c:ptCount val="5"/>
                <c:pt idx="0">
                  <c:v>COSMETICS</c:v>
                </c:pt>
                <c:pt idx="1">
                  <c:v>ELECTRONICS</c:v>
                </c:pt>
                <c:pt idx="2">
                  <c:v>FASHION</c:v>
                </c:pt>
                <c:pt idx="3">
                  <c:v>FURNITURE</c:v>
                </c:pt>
                <c:pt idx="4">
                  <c:v>GROCERIES</c:v>
                </c:pt>
              </c:strCache>
            </c:strRef>
          </c:cat>
          <c:val>
            <c:numRef>
              <c:f>KPI!$B$16:$B$21</c:f>
              <c:numCache>
                <c:formatCode>General</c:formatCode>
                <c:ptCount val="5"/>
                <c:pt idx="0">
                  <c:v>115823</c:v>
                </c:pt>
                <c:pt idx="1">
                  <c:v>119017</c:v>
                </c:pt>
                <c:pt idx="2">
                  <c:v>121602</c:v>
                </c:pt>
                <c:pt idx="3">
                  <c:v>137301</c:v>
                </c:pt>
                <c:pt idx="4">
                  <c:v>166763</c:v>
                </c:pt>
              </c:numCache>
            </c:numRef>
          </c:val>
          <c:extLst xmlns:c16r2="http://schemas.microsoft.com/office/drawing/2015/06/chart">
            <c:ext xmlns:c16="http://schemas.microsoft.com/office/drawing/2014/chart" uri="{C3380CC4-5D6E-409C-BE32-E72D297353CC}">
              <c16:uniqueId val="{0000000A-CD17-4533-A16D-D0438880F92C}"/>
            </c:ext>
          </c:extLst>
        </c:ser>
        <c:dLbls>
          <c:showVal val="1"/>
        </c:dLbls>
        <c:firstSliceAng val="0"/>
      </c:pie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[Flipkart Sales DashBoard.xlsx]KPI!TOTAL PURCHASE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rgbClr val="FFFF00"/>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rgbClr val="00B0F0"/>
          </a:solidFill>
          <a:ln w="19050">
            <a:solidFill>
              <a:schemeClr val="lt1"/>
            </a:solidFill>
          </a:ln>
          <a:effectLst/>
        </c:spPr>
      </c:pivotFmt>
      <c:pivotFmt>
        <c:idx val="12"/>
        <c:spPr>
          <a:solidFill>
            <a:srgbClr val="C00000"/>
          </a:solidFill>
          <a:ln w="19050">
            <a:solidFill>
              <a:schemeClr val="lt1"/>
            </a:solidFill>
          </a:ln>
          <a:effectLst/>
        </c:spPr>
      </c:pivotFmt>
    </c:pivotFmts>
    <c:plotArea>
      <c:layout/>
      <c:pieChart>
        <c:varyColors val="1"/>
        <c:ser>
          <c:idx val="0"/>
          <c:order val="0"/>
          <c:tx>
            <c:strRef>
              <c:f>KPI!$F$15</c:f>
              <c:strCache>
                <c:ptCount val="1"/>
                <c:pt idx="0">
                  <c:v>Total</c:v>
                </c:pt>
              </c:strCache>
            </c:strRef>
          </c:tx>
          <c:dPt>
            <c:idx val="0"/>
            <c:spPr>
              <a:solidFill>
                <a:srgbClr val="FFC000"/>
              </a:solidFill>
              <a:ln w="19050">
                <a:solidFill>
                  <a:schemeClr val="lt1"/>
                </a:solidFill>
              </a:ln>
              <a:effectLst/>
            </c:spPr>
            <c:extLst xmlns:c16r2="http://schemas.microsoft.com/office/drawing/2015/06/chart">
              <c:ext xmlns:c16="http://schemas.microsoft.com/office/drawing/2014/chart" uri="{C3380CC4-5D6E-409C-BE32-E72D297353CC}">
                <c16:uniqueId val="{00000001-B384-4D59-AA46-41D66BADD02F}"/>
              </c:ext>
            </c:extLst>
          </c:dPt>
          <c:dPt>
            <c:idx val="1"/>
            <c:spPr>
              <a:solidFill>
                <a:srgbClr val="FFFF00"/>
              </a:solidFill>
              <a:ln w="19050">
                <a:solidFill>
                  <a:schemeClr val="lt1"/>
                </a:solidFill>
              </a:ln>
              <a:effectLst/>
            </c:spPr>
            <c:extLst xmlns:c16r2="http://schemas.microsoft.com/office/drawing/2015/06/chart">
              <c:ext xmlns:c16="http://schemas.microsoft.com/office/drawing/2014/chart" uri="{C3380CC4-5D6E-409C-BE32-E72D297353CC}">
                <c16:uniqueId val="{00000003-B384-4D59-AA46-41D66BADD02F}"/>
              </c:ext>
            </c:extLst>
          </c:dPt>
          <c:dPt>
            <c:idx val="2"/>
            <c:spPr>
              <a:solidFill>
                <a:srgbClr val="00B050"/>
              </a:solidFill>
              <a:ln w="19050">
                <a:solidFill>
                  <a:schemeClr val="lt1"/>
                </a:solidFill>
              </a:ln>
              <a:effectLst/>
            </c:spPr>
            <c:extLst xmlns:c16r2="http://schemas.microsoft.com/office/drawing/2015/06/chart">
              <c:ext xmlns:c16="http://schemas.microsoft.com/office/drawing/2014/chart" uri="{C3380CC4-5D6E-409C-BE32-E72D297353CC}">
                <c16:uniqueId val="{00000005-B384-4D59-AA46-41D66BADD02F}"/>
              </c:ext>
            </c:extLst>
          </c:dPt>
          <c:dPt>
            <c:idx val="3"/>
            <c:spPr>
              <a:solidFill>
                <a:srgbClr val="00B0F0"/>
              </a:solidFill>
              <a:ln w="19050">
                <a:solidFill>
                  <a:schemeClr val="lt1"/>
                </a:solidFill>
              </a:ln>
              <a:effectLst/>
            </c:spPr>
            <c:extLst xmlns:c16r2="http://schemas.microsoft.com/office/drawing/2015/06/chart">
              <c:ext xmlns:c16="http://schemas.microsoft.com/office/drawing/2014/chart" uri="{C3380CC4-5D6E-409C-BE32-E72D297353CC}">
                <c16:uniqueId val="{00000007-B384-4D59-AA46-41D66BADD02F}"/>
              </c:ext>
            </c:extLst>
          </c:dPt>
          <c:dPt>
            <c:idx val="4"/>
            <c:spPr>
              <a:solidFill>
                <a:srgbClr val="C00000"/>
              </a:solidFill>
              <a:ln w="19050">
                <a:solidFill>
                  <a:schemeClr val="lt1"/>
                </a:solidFill>
              </a:ln>
              <a:effectLst/>
            </c:spPr>
            <c:extLst xmlns:c16r2="http://schemas.microsoft.com/office/drawing/2015/06/chart">
              <c:ext xmlns:c16="http://schemas.microsoft.com/office/drawing/2014/chart" uri="{C3380CC4-5D6E-409C-BE32-E72D297353CC}">
                <c16:uniqueId val="{00000009-B384-4D59-AA46-41D66BADD0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dLbls>
          <c:cat>
            <c:strRef>
              <c:f>KPI!$E$16:$E$21</c:f>
              <c:strCache>
                <c:ptCount val="5"/>
                <c:pt idx="0">
                  <c:v>COSMETICS</c:v>
                </c:pt>
                <c:pt idx="1">
                  <c:v>ELECTRONICS</c:v>
                </c:pt>
                <c:pt idx="2">
                  <c:v>FASHION</c:v>
                </c:pt>
                <c:pt idx="3">
                  <c:v>FURNITURE</c:v>
                </c:pt>
                <c:pt idx="4">
                  <c:v>GROCERIES</c:v>
                </c:pt>
              </c:strCache>
            </c:strRef>
          </c:cat>
          <c:val>
            <c:numRef>
              <c:f>KPI!$F$16:$F$21</c:f>
              <c:numCache>
                <c:formatCode>General</c:formatCode>
                <c:ptCount val="5"/>
                <c:pt idx="0">
                  <c:v>75087</c:v>
                </c:pt>
                <c:pt idx="1">
                  <c:v>76282</c:v>
                </c:pt>
                <c:pt idx="2">
                  <c:v>80291</c:v>
                </c:pt>
                <c:pt idx="3">
                  <c:v>87358</c:v>
                </c:pt>
                <c:pt idx="4">
                  <c:v>100021</c:v>
                </c:pt>
              </c:numCache>
            </c:numRef>
          </c:val>
          <c:extLst xmlns:c16r2="http://schemas.microsoft.com/office/drawing/2015/06/chart">
            <c:ext xmlns:c16="http://schemas.microsoft.com/office/drawing/2014/chart" uri="{C3380CC4-5D6E-409C-BE32-E72D297353CC}">
              <c16:uniqueId val="{0000000A-B384-4D59-AA46-41D66BADD02F}"/>
            </c:ext>
          </c:extLst>
        </c:ser>
        <c:dLbls>
          <c:showVal val="1"/>
        </c:dLbls>
        <c:firstSliceAng val="0"/>
      </c:pie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lang val="en-US"/>
  <c:pivotSource>
    <c:name>[Flipkart Sales DashBoard.xlsx]KPI!TOTAL PROFIT</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rgbClr val="FFFF00"/>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rgbClr val="00B0F0"/>
          </a:solidFill>
          <a:ln w="19050">
            <a:solidFill>
              <a:schemeClr val="lt1"/>
            </a:solidFill>
          </a:ln>
          <a:effectLst/>
        </c:spPr>
      </c:pivotFmt>
      <c:pivotFmt>
        <c:idx val="12"/>
        <c:spPr>
          <a:solidFill>
            <a:srgbClr val="C00000"/>
          </a:solidFill>
          <a:ln w="19050">
            <a:solidFill>
              <a:schemeClr val="lt1"/>
            </a:solidFill>
          </a:ln>
          <a:effectLst/>
        </c:spPr>
      </c:pivotFmt>
    </c:pivotFmts>
    <c:plotArea>
      <c:layout>
        <c:manualLayout>
          <c:layoutTarget val="inner"/>
          <c:xMode val="edge"/>
          <c:yMode val="edge"/>
          <c:x val="0.17087524286827868"/>
          <c:y val="0.20557616378497776"/>
          <c:w val="0.60609998884465532"/>
          <c:h val="0.6651552852410112"/>
        </c:manualLayout>
      </c:layout>
      <c:pieChart>
        <c:varyColors val="1"/>
        <c:ser>
          <c:idx val="0"/>
          <c:order val="0"/>
          <c:tx>
            <c:strRef>
              <c:f>KPI!$J$15</c:f>
              <c:strCache>
                <c:ptCount val="1"/>
                <c:pt idx="0">
                  <c:v>Total</c:v>
                </c:pt>
              </c:strCache>
            </c:strRef>
          </c:tx>
          <c:dPt>
            <c:idx val="0"/>
            <c:spPr>
              <a:solidFill>
                <a:srgbClr val="FFC000"/>
              </a:solidFill>
              <a:ln w="19050">
                <a:solidFill>
                  <a:schemeClr val="lt1"/>
                </a:solidFill>
              </a:ln>
              <a:effectLst/>
            </c:spPr>
            <c:extLst xmlns:c16r2="http://schemas.microsoft.com/office/drawing/2015/06/chart">
              <c:ext xmlns:c16="http://schemas.microsoft.com/office/drawing/2014/chart" uri="{C3380CC4-5D6E-409C-BE32-E72D297353CC}">
                <c16:uniqueId val="{00000001-DC7A-41F4-9057-F2376CBB45FD}"/>
              </c:ext>
            </c:extLst>
          </c:dPt>
          <c:dPt>
            <c:idx val="1"/>
            <c:spPr>
              <a:solidFill>
                <a:srgbClr val="FFFF00"/>
              </a:solidFill>
              <a:ln w="19050">
                <a:solidFill>
                  <a:schemeClr val="lt1"/>
                </a:solidFill>
              </a:ln>
              <a:effectLst/>
            </c:spPr>
            <c:extLst xmlns:c16r2="http://schemas.microsoft.com/office/drawing/2015/06/chart">
              <c:ext xmlns:c16="http://schemas.microsoft.com/office/drawing/2014/chart" uri="{C3380CC4-5D6E-409C-BE32-E72D297353CC}">
                <c16:uniqueId val="{00000003-DC7A-41F4-9057-F2376CBB45FD}"/>
              </c:ext>
            </c:extLst>
          </c:dPt>
          <c:dPt>
            <c:idx val="2"/>
            <c:spPr>
              <a:solidFill>
                <a:srgbClr val="00B050"/>
              </a:solidFill>
              <a:ln w="19050">
                <a:solidFill>
                  <a:schemeClr val="lt1"/>
                </a:solidFill>
              </a:ln>
              <a:effectLst/>
            </c:spPr>
            <c:extLst xmlns:c16r2="http://schemas.microsoft.com/office/drawing/2015/06/chart">
              <c:ext xmlns:c16="http://schemas.microsoft.com/office/drawing/2014/chart" uri="{C3380CC4-5D6E-409C-BE32-E72D297353CC}">
                <c16:uniqueId val="{00000005-DC7A-41F4-9057-F2376CBB45FD}"/>
              </c:ext>
            </c:extLst>
          </c:dPt>
          <c:dPt>
            <c:idx val="3"/>
            <c:spPr>
              <a:solidFill>
                <a:srgbClr val="00B0F0"/>
              </a:solidFill>
              <a:ln w="19050">
                <a:solidFill>
                  <a:schemeClr val="lt1"/>
                </a:solidFill>
              </a:ln>
              <a:effectLst/>
            </c:spPr>
            <c:extLst xmlns:c16r2="http://schemas.microsoft.com/office/drawing/2015/06/chart">
              <c:ext xmlns:c16="http://schemas.microsoft.com/office/drawing/2014/chart" uri="{C3380CC4-5D6E-409C-BE32-E72D297353CC}">
                <c16:uniqueId val="{00000007-DC7A-41F4-9057-F2376CBB45FD}"/>
              </c:ext>
            </c:extLst>
          </c:dPt>
          <c:dPt>
            <c:idx val="4"/>
            <c:spPr>
              <a:solidFill>
                <a:srgbClr val="C00000"/>
              </a:solidFill>
              <a:ln w="19050">
                <a:solidFill>
                  <a:schemeClr val="lt1"/>
                </a:solidFill>
              </a:ln>
              <a:effectLst/>
            </c:spPr>
            <c:extLst xmlns:c16r2="http://schemas.microsoft.com/office/drawing/2015/06/chart">
              <c:ext xmlns:c16="http://schemas.microsoft.com/office/drawing/2014/chart" uri="{C3380CC4-5D6E-409C-BE32-E72D297353CC}">
                <c16:uniqueId val="{00000009-DC7A-41F4-9057-F2376CBB45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dLbls>
          <c:cat>
            <c:strRef>
              <c:f>KPI!$I$16:$I$21</c:f>
              <c:strCache>
                <c:ptCount val="5"/>
                <c:pt idx="0">
                  <c:v>COSMETICS</c:v>
                </c:pt>
                <c:pt idx="1">
                  <c:v>ELECTRONICS</c:v>
                </c:pt>
                <c:pt idx="2">
                  <c:v>FASHION</c:v>
                </c:pt>
                <c:pt idx="3">
                  <c:v>FURNITURE</c:v>
                </c:pt>
                <c:pt idx="4">
                  <c:v>GROCERIES</c:v>
                </c:pt>
              </c:strCache>
            </c:strRef>
          </c:cat>
          <c:val>
            <c:numRef>
              <c:f>KPI!$J$16:$J$21</c:f>
              <c:numCache>
                <c:formatCode>General</c:formatCode>
                <c:ptCount val="5"/>
                <c:pt idx="0">
                  <c:v>40736</c:v>
                </c:pt>
                <c:pt idx="1">
                  <c:v>42735</c:v>
                </c:pt>
                <c:pt idx="2">
                  <c:v>41311</c:v>
                </c:pt>
                <c:pt idx="3">
                  <c:v>49943</c:v>
                </c:pt>
                <c:pt idx="4">
                  <c:v>66742</c:v>
                </c:pt>
              </c:numCache>
            </c:numRef>
          </c:val>
          <c:extLst xmlns:c16r2="http://schemas.microsoft.com/office/drawing/2015/06/chart">
            <c:ext xmlns:c16="http://schemas.microsoft.com/office/drawing/2014/chart" uri="{C3380CC4-5D6E-409C-BE32-E72D297353CC}">
              <c16:uniqueId val="{0000000A-DC7A-41F4-9057-F2376CBB45FD}"/>
            </c:ext>
          </c:extLst>
        </c:ser>
        <c:dLbls>
          <c:showVal val="1"/>
        </c:dLbls>
        <c:firstSliceAng val="0"/>
      </c:pie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c:lang val="en-US"/>
  <c:pivotSource>
    <c:name>[Flipkart Sales DashBoard.xlsx]KPI!PivotTable10</c:name>
    <c:fmtId val="5"/>
  </c:pivotSource>
  <c:chart>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1846981627296588"/>
          <c:y val="7.407407407407407E-2"/>
          <c:w val="0.77932414698162733"/>
          <c:h val="0.84167468649752142"/>
        </c:manualLayout>
      </c:layout>
      <c:barChart>
        <c:barDir val="col"/>
        <c:grouping val="clustered"/>
        <c:ser>
          <c:idx val="0"/>
          <c:order val="0"/>
          <c:tx>
            <c:strRef>
              <c:f>KPI!$N$15</c:f>
              <c:strCache>
                <c:ptCount val="1"/>
                <c:pt idx="0">
                  <c:v>Sum of SALES PRICE</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cat>
            <c:strRef>
              <c:f>KPI!$M$16:$M$28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KPI!$N$16:$N$28</c:f>
              <c:numCache>
                <c:formatCode>General</c:formatCode>
                <c:ptCount val="12"/>
                <c:pt idx="0">
                  <c:v>68536</c:v>
                </c:pt>
                <c:pt idx="1">
                  <c:v>60808</c:v>
                </c:pt>
                <c:pt idx="2">
                  <c:v>56090</c:v>
                </c:pt>
                <c:pt idx="3">
                  <c:v>50294</c:v>
                </c:pt>
                <c:pt idx="4">
                  <c:v>39875</c:v>
                </c:pt>
                <c:pt idx="5">
                  <c:v>49740</c:v>
                </c:pt>
                <c:pt idx="6">
                  <c:v>53402</c:v>
                </c:pt>
                <c:pt idx="7">
                  <c:v>57333</c:v>
                </c:pt>
                <c:pt idx="8">
                  <c:v>56717</c:v>
                </c:pt>
                <c:pt idx="9">
                  <c:v>59149</c:v>
                </c:pt>
                <c:pt idx="10">
                  <c:v>57895</c:v>
                </c:pt>
                <c:pt idx="11">
                  <c:v>50667</c:v>
                </c:pt>
              </c:numCache>
            </c:numRef>
          </c:val>
          <c:extLst xmlns:c16r2="http://schemas.microsoft.com/office/drawing/2015/06/chart">
            <c:ext xmlns:c16="http://schemas.microsoft.com/office/drawing/2014/chart" uri="{C3380CC4-5D6E-409C-BE32-E72D297353CC}">
              <c16:uniqueId val="{00000000-3753-45A2-95A9-9492BB264A1A}"/>
            </c:ext>
          </c:extLst>
        </c:ser>
        <c:dLbls/>
        <c:gapWidth val="269"/>
        <c:overlap val="-27"/>
        <c:axId val="62395904"/>
        <c:axId val="62397440"/>
      </c:barChart>
      <c:lineChart>
        <c:grouping val="standard"/>
        <c:ser>
          <c:idx val="1"/>
          <c:order val="1"/>
          <c:tx>
            <c:strRef>
              <c:f>KPI!$O$15</c:f>
              <c:strCache>
                <c:ptCount val="1"/>
                <c:pt idx="0">
                  <c:v>Sum of PROFIT</c:v>
                </c:pt>
              </c:strCache>
            </c:strRef>
          </c:tx>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cat>
            <c:strRef>
              <c:f>KPI!$M$16:$M$28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KPI!$O$16:$O$28</c:f>
              <c:numCache>
                <c:formatCode>0.00%</c:formatCode>
                <c:ptCount val="12"/>
                <c:pt idx="0">
                  <c:v>0.10717406519317339</c:v>
                </c:pt>
                <c:pt idx="1">
                  <c:v>8.6653662819350052E-2</c:v>
                </c:pt>
                <c:pt idx="2">
                  <c:v>6.7081630202056597E-2</c:v>
                </c:pt>
                <c:pt idx="3">
                  <c:v>8.3348863405765597E-2</c:v>
                </c:pt>
                <c:pt idx="4">
                  <c:v>5.8268831765831357E-2</c:v>
                </c:pt>
                <c:pt idx="5">
                  <c:v>7.4482227385108526E-2</c:v>
                </c:pt>
                <c:pt idx="6">
                  <c:v>9.4824551595041967E-2</c:v>
                </c:pt>
                <c:pt idx="7">
                  <c:v>0.10110284221032273</c:v>
                </c:pt>
                <c:pt idx="8">
                  <c:v>8.3816836255057633E-2</c:v>
                </c:pt>
                <c:pt idx="9">
                  <c:v>8.6811034219996933E-2</c:v>
                </c:pt>
                <c:pt idx="10">
                  <c:v>7.4838383712888298E-2</c:v>
                </c:pt>
                <c:pt idx="11">
                  <c:v>8.1597071235406909E-2</c:v>
                </c:pt>
              </c:numCache>
            </c:numRef>
          </c:val>
          <c:extLst xmlns:c16r2="http://schemas.microsoft.com/office/drawing/2015/06/chart">
            <c:ext xmlns:c16="http://schemas.microsoft.com/office/drawing/2014/chart" uri="{C3380CC4-5D6E-409C-BE32-E72D297353CC}">
              <c16:uniqueId val="{00000001-3753-45A2-95A9-9492BB264A1A}"/>
            </c:ext>
          </c:extLst>
        </c:ser>
        <c:dLbls/>
        <c:marker val="1"/>
        <c:axId val="62417152"/>
        <c:axId val="62415616"/>
      </c:lineChart>
      <c:catAx>
        <c:axId val="62395904"/>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397440"/>
        <c:crosses val="autoZero"/>
        <c:auto val="1"/>
        <c:lblAlgn val="ctr"/>
        <c:lblOffset val="100"/>
      </c:catAx>
      <c:valAx>
        <c:axId val="62397440"/>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395904"/>
        <c:crosses val="autoZero"/>
        <c:crossBetween val="between"/>
      </c:valAx>
      <c:valAx>
        <c:axId val="62415616"/>
        <c:scaling>
          <c:orientation val="minMax"/>
        </c:scaling>
        <c:axPos val="r"/>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417152"/>
        <c:crosses val="max"/>
        <c:crossBetween val="between"/>
      </c:valAx>
      <c:catAx>
        <c:axId val="62417152"/>
        <c:scaling>
          <c:orientation val="minMax"/>
        </c:scaling>
        <c:delete val="1"/>
        <c:axPos val="b"/>
        <c:numFmt formatCode="General" sourceLinked="1"/>
        <c:majorTickMark val="none"/>
        <c:tickLblPos val="none"/>
        <c:crossAx val="62415616"/>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c:lang val="en-US"/>
  <c:pivotSource>
    <c:name>[Flipkart Sales DashBoard.xlsx]KPI!PivotTable12</c:name>
    <c:fmtId val="13"/>
  </c:pivotSource>
  <c:chart>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dLbl>
          <c:idx val="0"/>
          <c:layout>
            <c:manualLayout>
              <c:x val="-1.3902441640943503E-2"/>
              <c:y val="0.125484547442174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layout>
                <c:manualLayout>
                  <c:w val="9.1513779527559028E-2"/>
                  <c:h val="2.0146547122260199E-2"/>
                </c:manualLayout>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5"/>
        <c:spPr>
          <a:solidFill>
            <a:schemeClr val="accent2"/>
          </a:solidFill>
          <a:ln>
            <a:noFill/>
          </a:ln>
          <a:effectLst/>
        </c:spPr>
        <c:dLbl>
          <c:idx val="0"/>
          <c:layout>
            <c:manualLayout>
              <c:x val="-1.3902441640943503E-2"/>
              <c:y val="0.125484547442174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layout>
                <c:manualLayout>
                  <c:w val="9.1513779527559028E-2"/>
                  <c:h val="2.0146547122260199E-2"/>
                </c:manualLayout>
              </c15:layout>
            </c:ext>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Val val="1"/>
          <c:extLst xmlns:c16r2="http://schemas.microsoft.com/office/drawing/2015/06/chart">
            <c:ext xmlns:c15="http://schemas.microsoft.com/office/drawing/2012/chart" uri="{CE6537A1-D6FC-4f65-9D91-7224C49458BB}"/>
          </c:extLst>
        </c:dLbl>
      </c:pivotFmt>
      <c:pivotFmt>
        <c:idx val="7"/>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Val val="1"/>
          <c:extLst xmlns:c16r2="http://schemas.microsoft.com/office/drawing/2015/06/chart">
            <c:ext xmlns:c15="http://schemas.microsoft.com/office/drawing/2012/chart" uri="{CE6537A1-D6FC-4f65-9D91-7224C49458BB}"/>
          </c:extLst>
        </c:dLbl>
      </c:pivotFmt>
      <c:pivotFmt>
        <c:idx val="8"/>
      </c:pivotFmt>
    </c:pivotFmts>
    <c:plotArea>
      <c:layout/>
      <c:barChart>
        <c:barDir val="col"/>
        <c:grouping val="stacked"/>
        <c:ser>
          <c:idx val="0"/>
          <c:order val="0"/>
          <c:tx>
            <c:strRef>
              <c:f>KPI!$X$15</c:f>
              <c:strCache>
                <c:ptCount val="1"/>
                <c:pt idx="0">
                  <c:v>Sum of SALES PRICE</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Val val="1"/>
          </c:dLbls>
          <c:cat>
            <c:strRef>
              <c:f>KPI!$W$16:$W$21</c:f>
              <c:strCache>
                <c:ptCount val="5"/>
                <c:pt idx="0">
                  <c:v>DELHI</c:v>
                </c:pt>
                <c:pt idx="1">
                  <c:v>GUJARAT</c:v>
                </c:pt>
                <c:pt idx="2">
                  <c:v>KARNATAKA</c:v>
                </c:pt>
                <c:pt idx="3">
                  <c:v>MAHARASHTRA</c:v>
                </c:pt>
                <c:pt idx="4">
                  <c:v>TAMIL NADU</c:v>
                </c:pt>
              </c:strCache>
            </c:strRef>
          </c:cat>
          <c:val>
            <c:numRef>
              <c:f>KPI!$X$16:$X$21</c:f>
              <c:numCache>
                <c:formatCode>General</c:formatCode>
                <c:ptCount val="5"/>
                <c:pt idx="0">
                  <c:v>123240</c:v>
                </c:pt>
                <c:pt idx="1">
                  <c:v>134769</c:v>
                </c:pt>
                <c:pt idx="2">
                  <c:v>118910</c:v>
                </c:pt>
                <c:pt idx="3">
                  <c:v>147924</c:v>
                </c:pt>
                <c:pt idx="4">
                  <c:v>135663</c:v>
                </c:pt>
              </c:numCache>
            </c:numRef>
          </c:val>
          <c:extLst xmlns:c16r2="http://schemas.microsoft.com/office/drawing/2015/06/chart">
            <c:ext xmlns:c16="http://schemas.microsoft.com/office/drawing/2014/chart" uri="{C3380CC4-5D6E-409C-BE32-E72D297353CC}">
              <c16:uniqueId val="{00000000-EEFA-4948-B2B0-20FEDC389424}"/>
            </c:ext>
          </c:extLst>
        </c:ser>
        <c:ser>
          <c:idx val="1"/>
          <c:order val="1"/>
          <c:tx>
            <c:strRef>
              <c:f>KPI!$Y$15</c:f>
              <c:strCache>
                <c:ptCount val="1"/>
                <c:pt idx="0">
                  <c:v>Sum of PROFIT</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Val val="1"/>
          </c:dLbls>
          <c:cat>
            <c:strRef>
              <c:f>KPI!$W$16:$W$21</c:f>
              <c:strCache>
                <c:ptCount val="5"/>
                <c:pt idx="0">
                  <c:v>DELHI</c:v>
                </c:pt>
                <c:pt idx="1">
                  <c:v>GUJARAT</c:v>
                </c:pt>
                <c:pt idx="2">
                  <c:v>KARNATAKA</c:v>
                </c:pt>
                <c:pt idx="3">
                  <c:v>MAHARASHTRA</c:v>
                </c:pt>
                <c:pt idx="4">
                  <c:v>TAMIL NADU</c:v>
                </c:pt>
              </c:strCache>
            </c:strRef>
          </c:cat>
          <c:val>
            <c:numRef>
              <c:f>KPI!$Y$16:$Y$21</c:f>
              <c:numCache>
                <c:formatCode>0.00%</c:formatCode>
                <c:ptCount val="5"/>
                <c:pt idx="0">
                  <c:v>0.20110408461611731</c:v>
                </c:pt>
                <c:pt idx="1">
                  <c:v>0.20644228818016541</c:v>
                </c:pt>
                <c:pt idx="2">
                  <c:v>0.17333631510724032</c:v>
                </c:pt>
                <c:pt idx="3">
                  <c:v>0.21846463491905727</c:v>
                </c:pt>
                <c:pt idx="4">
                  <c:v>0.20065267717741969</c:v>
                </c:pt>
              </c:numCache>
            </c:numRef>
          </c:val>
          <c:extLst xmlns:c16r2="http://schemas.microsoft.com/office/drawing/2015/06/chart">
            <c:ext xmlns:c16="http://schemas.microsoft.com/office/drawing/2014/chart" uri="{C3380CC4-5D6E-409C-BE32-E72D297353CC}">
              <c16:uniqueId val="{00000002-EEFA-4948-B2B0-20FEDC389424}"/>
            </c:ext>
          </c:extLst>
        </c:ser>
        <c:dLbls>
          <c:showVal val="1"/>
        </c:dLbls>
        <c:gapWidth val="219"/>
        <c:overlap val="100"/>
        <c:axId val="63692800"/>
        <c:axId val="63694336"/>
      </c:barChart>
      <c:catAx>
        <c:axId val="63692800"/>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4336"/>
        <c:crosses val="autoZero"/>
        <c:auto val="1"/>
        <c:lblAlgn val="ctr"/>
        <c:lblOffset val="100"/>
      </c:catAx>
      <c:valAx>
        <c:axId val="63694336"/>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2800"/>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c:lang val="en-US"/>
  <c:pivotSource>
    <c:name>[Flipkart Sales DashBoard.xlsx]KPI!TOTAL SALE</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KPI!$B$15</c:f>
              <c:strCache>
                <c:ptCount val="1"/>
                <c:pt idx="0">
                  <c:v>Total</c:v>
                </c:pt>
              </c:strCache>
            </c:strRef>
          </c:tx>
          <c:dPt>
            <c:idx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091-4875-A888-D949DA82ADDC}"/>
              </c:ext>
            </c:extLst>
          </c:dPt>
          <c:dPt>
            <c:idx val="1"/>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091-4875-A888-D949DA82ADDC}"/>
              </c:ext>
            </c:extLst>
          </c:dPt>
          <c:dPt>
            <c:idx val="2"/>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091-4875-A888-D949DA82ADDC}"/>
              </c:ext>
            </c:extLst>
          </c:dPt>
          <c:dPt>
            <c:idx val="3"/>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091-4875-A888-D949DA82ADDC}"/>
              </c:ext>
            </c:extLst>
          </c:dPt>
          <c:dPt>
            <c:idx val="4"/>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A091-4875-A888-D949DA82AD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Percent val="1"/>
          </c:dLbls>
          <c:cat>
            <c:strRef>
              <c:f>KPI!$A$16:$A$21</c:f>
              <c:strCache>
                <c:ptCount val="5"/>
                <c:pt idx="0">
                  <c:v>COSMETICS</c:v>
                </c:pt>
                <c:pt idx="1">
                  <c:v>ELECTRONICS</c:v>
                </c:pt>
                <c:pt idx="2">
                  <c:v>FASHION</c:v>
                </c:pt>
                <c:pt idx="3">
                  <c:v>FURNITURE</c:v>
                </c:pt>
                <c:pt idx="4">
                  <c:v>GROCERIES</c:v>
                </c:pt>
              </c:strCache>
            </c:strRef>
          </c:cat>
          <c:val>
            <c:numRef>
              <c:f>KPI!$B$16:$B$21</c:f>
              <c:numCache>
                <c:formatCode>General</c:formatCode>
                <c:ptCount val="5"/>
                <c:pt idx="0">
                  <c:v>115823</c:v>
                </c:pt>
                <c:pt idx="1">
                  <c:v>119017</c:v>
                </c:pt>
                <c:pt idx="2">
                  <c:v>121602</c:v>
                </c:pt>
                <c:pt idx="3">
                  <c:v>137301</c:v>
                </c:pt>
                <c:pt idx="4">
                  <c:v>166763</c:v>
                </c:pt>
              </c:numCache>
            </c:numRef>
          </c:val>
          <c:extLst xmlns:c16r2="http://schemas.microsoft.com/office/drawing/2015/06/chart">
            <c:ext xmlns:c16="http://schemas.microsoft.com/office/drawing/2014/chart" uri="{C3380CC4-5D6E-409C-BE32-E72D297353CC}">
              <c16:uniqueId val="{00000000-C601-4FA2-B0C2-473A82F5A429}"/>
            </c:ext>
          </c:extLst>
        </c:ser>
        <c:dLbls>
          <c:showVal val="1"/>
        </c:dLbls>
        <c:firstSliceAng val="0"/>
      </c:pie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c:lang val="en-US"/>
  <c:pivotSource>
    <c:name>[Flipkart Sales DashBoard.xlsx]KPI!TOTAL PURCHASE</c:name>
    <c:fmtId val="0"/>
  </c:pivotSource>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KPI!$F$15</c:f>
              <c:strCache>
                <c:ptCount val="1"/>
                <c:pt idx="0">
                  <c:v>Total</c:v>
                </c:pt>
              </c:strCache>
            </c:strRef>
          </c:tx>
          <c:dPt>
            <c:idx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AE7-4CDF-BDBF-1BD723EABFE7}"/>
              </c:ext>
            </c:extLst>
          </c:dPt>
          <c:dPt>
            <c:idx val="1"/>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AE7-4CDF-BDBF-1BD723EABFE7}"/>
              </c:ext>
            </c:extLst>
          </c:dPt>
          <c:dPt>
            <c:idx val="2"/>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AE7-4CDF-BDBF-1BD723EABFE7}"/>
              </c:ext>
            </c:extLst>
          </c:dPt>
          <c:dPt>
            <c:idx val="3"/>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AE7-4CDF-BDBF-1BD723EABFE7}"/>
              </c:ext>
            </c:extLst>
          </c:dPt>
          <c:dPt>
            <c:idx val="4"/>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AAE7-4CDF-BDBF-1BD723EABF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dLbls>
          <c:cat>
            <c:strRef>
              <c:f>KPI!$E$16:$E$21</c:f>
              <c:strCache>
                <c:ptCount val="5"/>
                <c:pt idx="0">
                  <c:v>COSMETICS</c:v>
                </c:pt>
                <c:pt idx="1">
                  <c:v>ELECTRONICS</c:v>
                </c:pt>
                <c:pt idx="2">
                  <c:v>FASHION</c:v>
                </c:pt>
                <c:pt idx="3">
                  <c:v>FURNITURE</c:v>
                </c:pt>
                <c:pt idx="4">
                  <c:v>GROCERIES</c:v>
                </c:pt>
              </c:strCache>
            </c:strRef>
          </c:cat>
          <c:val>
            <c:numRef>
              <c:f>KPI!$F$16:$F$21</c:f>
              <c:numCache>
                <c:formatCode>General</c:formatCode>
                <c:ptCount val="5"/>
                <c:pt idx="0">
                  <c:v>75087</c:v>
                </c:pt>
                <c:pt idx="1">
                  <c:v>76282</c:v>
                </c:pt>
                <c:pt idx="2">
                  <c:v>80291</c:v>
                </c:pt>
                <c:pt idx="3">
                  <c:v>87358</c:v>
                </c:pt>
                <c:pt idx="4">
                  <c:v>100021</c:v>
                </c:pt>
              </c:numCache>
            </c:numRef>
          </c:val>
          <c:extLst xmlns:c16r2="http://schemas.microsoft.com/office/drawing/2015/06/chart">
            <c:ext xmlns:c16="http://schemas.microsoft.com/office/drawing/2014/chart" uri="{C3380CC4-5D6E-409C-BE32-E72D297353CC}">
              <c16:uniqueId val="{00000000-E2BC-42FD-BF00-48ACD1BC1E2D}"/>
            </c:ext>
          </c:extLst>
        </c:ser>
        <c:dLbls>
          <c:showVal val="1"/>
        </c:dLbls>
        <c:firstSliceAng val="0"/>
      </c:pie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c:lang val="en-US"/>
  <c:pivotSource>
    <c:name>[Flipkart Sales DashBoard.xlsx]KPI!TOTAL PROFIT</c:name>
    <c:fmtId val="0"/>
  </c:pivotSource>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KPI!$J$15</c:f>
              <c:strCache>
                <c:ptCount val="1"/>
                <c:pt idx="0">
                  <c:v>Total</c:v>
                </c:pt>
              </c:strCache>
            </c:strRef>
          </c:tx>
          <c:dPt>
            <c:idx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CB48-4E18-A370-7E6B9685E18E}"/>
              </c:ext>
            </c:extLst>
          </c:dPt>
          <c:dPt>
            <c:idx val="1"/>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CB48-4E18-A370-7E6B9685E18E}"/>
              </c:ext>
            </c:extLst>
          </c:dPt>
          <c:dPt>
            <c:idx val="2"/>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CB48-4E18-A370-7E6B9685E18E}"/>
              </c:ext>
            </c:extLst>
          </c:dPt>
          <c:dPt>
            <c:idx val="3"/>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CB48-4E18-A370-7E6B9685E18E}"/>
              </c:ext>
            </c:extLst>
          </c:dPt>
          <c:dPt>
            <c:idx val="4"/>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CB48-4E18-A370-7E6B9685E1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Percent val="1"/>
          </c:dLbls>
          <c:cat>
            <c:strRef>
              <c:f>KPI!$I$16:$I$21</c:f>
              <c:strCache>
                <c:ptCount val="5"/>
                <c:pt idx="0">
                  <c:v>COSMETICS</c:v>
                </c:pt>
                <c:pt idx="1">
                  <c:v>ELECTRONICS</c:v>
                </c:pt>
                <c:pt idx="2">
                  <c:v>FASHION</c:v>
                </c:pt>
                <c:pt idx="3">
                  <c:v>FURNITURE</c:v>
                </c:pt>
                <c:pt idx="4">
                  <c:v>GROCERIES</c:v>
                </c:pt>
              </c:strCache>
            </c:strRef>
          </c:cat>
          <c:val>
            <c:numRef>
              <c:f>KPI!$J$16:$J$21</c:f>
              <c:numCache>
                <c:formatCode>General</c:formatCode>
                <c:ptCount val="5"/>
                <c:pt idx="0">
                  <c:v>40736</c:v>
                </c:pt>
                <c:pt idx="1">
                  <c:v>42735</c:v>
                </c:pt>
                <c:pt idx="2">
                  <c:v>41311</c:v>
                </c:pt>
                <c:pt idx="3">
                  <c:v>49943</c:v>
                </c:pt>
                <c:pt idx="4">
                  <c:v>66742</c:v>
                </c:pt>
              </c:numCache>
            </c:numRef>
          </c:val>
          <c:extLst xmlns:c16r2="http://schemas.microsoft.com/office/drawing/2015/06/chart">
            <c:ext xmlns:c16="http://schemas.microsoft.com/office/drawing/2014/chart" uri="{C3380CC4-5D6E-409C-BE32-E72D297353CC}">
              <c16:uniqueId val="{00000000-F5F5-4B67-81F4-4132A1C6E7AE}"/>
            </c:ext>
          </c:extLst>
        </c:ser>
        <c:dLbls>
          <c:showVal val="1"/>
        </c:dLbls>
        <c:firstSliceAng val="0"/>
      </c:pie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c:lang val="en-US"/>
  <c:pivotSource>
    <c:name>[Flipkart Sales DashBoard.xlsx]KPI!PivotTable10</c:name>
    <c:fmtId val="1"/>
  </c:pivotSource>
  <c:chart>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1846981627296588"/>
          <c:y val="7.407407407407407E-2"/>
          <c:w val="0.77932414698162733"/>
          <c:h val="0.84167468649752142"/>
        </c:manualLayout>
      </c:layout>
      <c:barChart>
        <c:barDir val="col"/>
        <c:grouping val="clustered"/>
        <c:ser>
          <c:idx val="0"/>
          <c:order val="0"/>
          <c:tx>
            <c:strRef>
              <c:f>KPI!$N$15</c:f>
              <c:strCache>
                <c:ptCount val="1"/>
                <c:pt idx="0">
                  <c:v>Sum of SALES PRICE</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cat>
            <c:strRef>
              <c:f>KPI!$M$16:$M$28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KPI!$N$16:$N$28</c:f>
              <c:numCache>
                <c:formatCode>General</c:formatCode>
                <c:ptCount val="12"/>
                <c:pt idx="0">
                  <c:v>68536</c:v>
                </c:pt>
                <c:pt idx="1">
                  <c:v>60808</c:v>
                </c:pt>
                <c:pt idx="2">
                  <c:v>56090</c:v>
                </c:pt>
                <c:pt idx="3">
                  <c:v>50294</c:v>
                </c:pt>
                <c:pt idx="4">
                  <c:v>39875</c:v>
                </c:pt>
                <c:pt idx="5">
                  <c:v>49740</c:v>
                </c:pt>
                <c:pt idx="6">
                  <c:v>53402</c:v>
                </c:pt>
                <c:pt idx="7">
                  <c:v>57333</c:v>
                </c:pt>
                <c:pt idx="8">
                  <c:v>56717</c:v>
                </c:pt>
                <c:pt idx="9">
                  <c:v>59149</c:v>
                </c:pt>
                <c:pt idx="10">
                  <c:v>57895</c:v>
                </c:pt>
                <c:pt idx="11">
                  <c:v>50667</c:v>
                </c:pt>
              </c:numCache>
            </c:numRef>
          </c:val>
          <c:extLst xmlns:c16r2="http://schemas.microsoft.com/office/drawing/2015/06/chart">
            <c:ext xmlns:c16="http://schemas.microsoft.com/office/drawing/2014/chart" uri="{C3380CC4-5D6E-409C-BE32-E72D297353CC}">
              <c16:uniqueId val="{00000000-D76E-4297-BA8E-00393DE66BE5}"/>
            </c:ext>
          </c:extLst>
        </c:ser>
        <c:dLbls/>
        <c:gapWidth val="269"/>
        <c:overlap val="-27"/>
        <c:axId val="166236544"/>
        <c:axId val="166238080"/>
      </c:barChart>
      <c:lineChart>
        <c:grouping val="standard"/>
        <c:ser>
          <c:idx val="1"/>
          <c:order val="1"/>
          <c:tx>
            <c:strRef>
              <c:f>KPI!$O$15</c:f>
              <c:strCache>
                <c:ptCount val="1"/>
                <c:pt idx="0">
                  <c:v>Sum of PROFIT</c:v>
                </c:pt>
              </c:strCache>
            </c:strRef>
          </c:tx>
          <c:spPr>
            <a:ln w="15875" cap="rnd">
              <a:solidFill>
                <a:schemeClr val="accent2"/>
              </a:solidFill>
              <a:round/>
            </a:ln>
            <a:effectLst>
              <a:outerShdw blurRad="40000" dist="20000" dir="5400000" rotWithShape="0">
                <a:srgbClr val="000000">
                  <a:alpha val="38000"/>
                </a:srgbClr>
              </a:outerShdw>
            </a:effectLst>
          </c:spPr>
          <c:marker>
            <c:symbol val="circle"/>
            <c:size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cat>
            <c:strRef>
              <c:f>KPI!$M$16:$M$28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KPI!$O$16:$O$28</c:f>
              <c:numCache>
                <c:formatCode>0.00%</c:formatCode>
                <c:ptCount val="12"/>
                <c:pt idx="0">
                  <c:v>0.10717406519317339</c:v>
                </c:pt>
                <c:pt idx="1">
                  <c:v>8.6653662819350052E-2</c:v>
                </c:pt>
                <c:pt idx="2">
                  <c:v>6.7081630202056597E-2</c:v>
                </c:pt>
                <c:pt idx="3">
                  <c:v>8.3348863405765597E-2</c:v>
                </c:pt>
                <c:pt idx="4">
                  <c:v>5.8268831765831357E-2</c:v>
                </c:pt>
                <c:pt idx="5">
                  <c:v>7.4482227385108526E-2</c:v>
                </c:pt>
                <c:pt idx="6">
                  <c:v>9.4824551595041967E-2</c:v>
                </c:pt>
                <c:pt idx="7">
                  <c:v>0.10110284221032273</c:v>
                </c:pt>
                <c:pt idx="8">
                  <c:v>8.3816836255057633E-2</c:v>
                </c:pt>
                <c:pt idx="9">
                  <c:v>8.6811034219996933E-2</c:v>
                </c:pt>
                <c:pt idx="10">
                  <c:v>7.4838383712888298E-2</c:v>
                </c:pt>
                <c:pt idx="11">
                  <c:v>8.1597071235406909E-2</c:v>
                </c:pt>
              </c:numCache>
            </c:numRef>
          </c:val>
          <c:extLst xmlns:c16r2="http://schemas.microsoft.com/office/drawing/2015/06/chart">
            <c:ext xmlns:c16="http://schemas.microsoft.com/office/drawing/2014/chart" uri="{C3380CC4-5D6E-409C-BE32-E72D297353CC}">
              <c16:uniqueId val="{00000001-D76E-4297-BA8E-00393DE66BE5}"/>
            </c:ext>
          </c:extLst>
        </c:ser>
        <c:dLbls/>
        <c:marker val="1"/>
        <c:axId val="166253696"/>
        <c:axId val="166239616"/>
      </c:lineChart>
      <c:catAx>
        <c:axId val="166236544"/>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6238080"/>
        <c:crosses val="autoZero"/>
        <c:auto val="1"/>
        <c:lblAlgn val="ctr"/>
        <c:lblOffset val="100"/>
      </c:catAx>
      <c:valAx>
        <c:axId val="166238080"/>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6236544"/>
        <c:crosses val="autoZero"/>
        <c:crossBetween val="between"/>
      </c:valAx>
      <c:valAx>
        <c:axId val="166239616"/>
        <c:scaling>
          <c:orientation val="minMax"/>
        </c:scaling>
        <c:axPos val="r"/>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6253696"/>
        <c:crosses val="max"/>
        <c:crossBetween val="between"/>
      </c:valAx>
      <c:catAx>
        <c:axId val="166253696"/>
        <c:scaling>
          <c:orientation val="minMax"/>
        </c:scaling>
        <c:delete val="1"/>
        <c:axPos val="b"/>
        <c:numFmt formatCode="General" sourceLinked="1"/>
        <c:majorTickMark val="none"/>
        <c:tickLblPos val="none"/>
        <c:crossAx val="166239616"/>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lotArea>
      <c:layout/>
      <c:barChart>
        <c:barDir val="col"/>
        <c:grouping val="stacked"/>
        <c:ser>
          <c:idx val="0"/>
          <c:order val="0"/>
          <c:spPr>
            <a:solidFill>
              <a:schemeClr val="accent1"/>
            </a:solidFill>
            <a:ln>
              <a:noFill/>
            </a:ln>
            <a:effectLst/>
          </c:spPr>
          <c:cat>
            <c:strRef>
              <c:f>KPI!$R$47:$R$71</c:f>
              <c:strCache>
                <c:ptCount val="25"/>
                <c:pt idx="0">
                  <c:v>BED</c:v>
                </c:pt>
                <c:pt idx="1">
                  <c:v>CAMERA</c:v>
                </c:pt>
                <c:pt idx="2">
                  <c:v>CHAIR</c:v>
                </c:pt>
                <c:pt idx="3">
                  <c:v>CREAM</c:v>
                </c:pt>
                <c:pt idx="4">
                  <c:v>DRESS</c:v>
                </c:pt>
                <c:pt idx="5">
                  <c:v>FOUNDATION</c:v>
                </c:pt>
                <c:pt idx="6">
                  <c:v>HEADPHONES</c:v>
                </c:pt>
                <c:pt idx="7">
                  <c:v>JACKET</c:v>
                </c:pt>
                <c:pt idx="8">
                  <c:v>JEANS</c:v>
                </c:pt>
                <c:pt idx="9">
                  <c:v>LAPTOP</c:v>
                </c:pt>
                <c:pt idx="10">
                  <c:v>LIPSTICK</c:v>
                </c:pt>
                <c:pt idx="11">
                  <c:v>LOTION</c:v>
                </c:pt>
                <c:pt idx="12">
                  <c:v>MOBILE</c:v>
                </c:pt>
                <c:pt idx="13">
                  <c:v>OIL</c:v>
                </c:pt>
                <c:pt idx="14">
                  <c:v>PERFUME</c:v>
                </c:pt>
                <c:pt idx="15">
                  <c:v>RICE</c:v>
                </c:pt>
                <c:pt idx="16">
                  <c:v>SHIRT</c:v>
                </c:pt>
                <c:pt idx="17">
                  <c:v>SHOES</c:v>
                </c:pt>
                <c:pt idx="18">
                  <c:v>SOFA</c:v>
                </c:pt>
                <c:pt idx="19">
                  <c:v>SPICES</c:v>
                </c:pt>
                <c:pt idx="20">
                  <c:v>SUGAR</c:v>
                </c:pt>
                <c:pt idx="21">
                  <c:v>TABLE</c:v>
                </c:pt>
                <c:pt idx="22">
                  <c:v>TABLET</c:v>
                </c:pt>
                <c:pt idx="23">
                  <c:v>WARDROBE</c:v>
                </c:pt>
                <c:pt idx="24">
                  <c:v>WHEAT</c:v>
                </c:pt>
              </c:strCache>
            </c:strRef>
          </c:cat>
          <c:val>
            <c:numRef>
              <c:f>KPI!$T$47:$T$71</c:f>
              <c:numCache>
                <c:formatCode>0.00%</c:formatCode>
                <c:ptCount val="25"/>
                <c:pt idx="1">
                  <c:v>2.802867472573892E-2</c:v>
                </c:pt>
                <c:pt idx="2">
                  <c:v>4.8743720674046559E-2</c:v>
                </c:pt>
                <c:pt idx="3">
                  <c:v>3.8266098473083279E-2</c:v>
                </c:pt>
                <c:pt idx="4">
                  <c:v>3.0128340518580179E-2</c:v>
                </c:pt>
                <c:pt idx="5">
                  <c:v>4.4006013244045773E-2</c:v>
                </c:pt>
                <c:pt idx="6">
                  <c:v>5.1953268976713173E-2</c:v>
                </c:pt>
                <c:pt idx="7">
                  <c:v>2.7146566611586678E-2</c:v>
                </c:pt>
                <c:pt idx="8">
                  <c:v>3.7251467074175766E-2</c:v>
                </c:pt>
                <c:pt idx="9">
                  <c:v>2.7539995113203874E-2</c:v>
                </c:pt>
                <c:pt idx="10">
                  <c:v>1.879345831935627E-2</c:v>
                </c:pt>
                <c:pt idx="11">
                  <c:v>4.6155375268670251E-2</c:v>
                </c:pt>
                <c:pt idx="12">
                  <c:v>2.8571191922705793E-2</c:v>
                </c:pt>
                <c:pt idx="13">
                  <c:v>5.5477560080673546E-2</c:v>
                </c:pt>
                <c:pt idx="14">
                  <c:v>2.1481196188299023E-2</c:v>
                </c:pt>
                <c:pt idx="15">
                  <c:v>7.8006518489068893E-2</c:v>
                </c:pt>
                <c:pt idx="16">
                  <c:v>4.2672497691195896E-2</c:v>
                </c:pt>
                <c:pt idx="17">
                  <c:v>3.3884547370862272E-2</c:v>
                </c:pt>
                <c:pt idx="18">
                  <c:v>4.483842512641479E-2</c:v>
                </c:pt>
                <c:pt idx="19">
                  <c:v>4.9166138644203973E-2</c:v>
                </c:pt>
                <c:pt idx="20">
                  <c:v>5.5158675926731189E-2</c:v>
                </c:pt>
                <c:pt idx="21">
                  <c:v>3.1209233559865324E-2</c:v>
                </c:pt>
                <c:pt idx="22">
                  <c:v>4.0887574699648398E-2</c:v>
                </c:pt>
                <c:pt idx="23">
                  <c:v>2.9030882066700625E-2</c:v>
                </c:pt>
                <c:pt idx="24">
                  <c:v>3.8593265332322844E-2</c:v>
                </c:pt>
              </c:numCache>
            </c:numRef>
          </c:val>
          <c:extLst xmlns:c16r2="http://schemas.microsoft.com/office/drawing/2015/06/chart">
            <c:ext xmlns:c16="http://schemas.microsoft.com/office/drawing/2014/chart" uri="{C3380CC4-5D6E-409C-BE32-E72D297353CC}">
              <c16:uniqueId val="{00000000-795D-46DF-A286-A28BB1CCEDA5}"/>
            </c:ext>
          </c:extLst>
        </c:ser>
        <c:dLbls/>
        <c:overlap val="100"/>
        <c:axId val="166352768"/>
        <c:axId val="166354304"/>
      </c:barChart>
      <c:catAx>
        <c:axId val="166352768"/>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4304"/>
        <c:crosses val="autoZero"/>
        <c:auto val="1"/>
        <c:lblAlgn val="ctr"/>
        <c:lblOffset val="100"/>
      </c:catAx>
      <c:valAx>
        <c:axId val="166354304"/>
        <c:scaling>
          <c:orientation val="minMax"/>
        </c:scaling>
        <c:axPos val="l"/>
        <c:majorGridlines>
          <c:spPr>
            <a:ln w="9525" cap="flat" cmpd="sng" algn="ctr">
              <a:solidFill>
                <a:schemeClr val="tx1">
                  <a:lumMod val="15000"/>
                  <a:lumOff val="85000"/>
                </a:schemeClr>
              </a:solidFill>
              <a:round/>
            </a:ln>
            <a:effectLst/>
          </c:spPr>
        </c:majorGridlines>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2768"/>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pivotSource>
    <c:name>[Flipkart Sales DashBoard.xlsx]KPI!PivotTable12</c:name>
    <c:fmtId val="4"/>
  </c:pivotSource>
  <c:chart>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dLbl>
          <c:idx val="0"/>
          <c:layout>
            <c:manualLayout>
              <c:x val="-1.3902441640943503E-2"/>
              <c:y val="0.125484547442174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layout>
                <c:manualLayout>
                  <c:w val="9.1513779527559028E-2"/>
                  <c:h val="2.0146547122260199E-2"/>
                </c:manualLayout>
              </c15:layout>
            </c:ext>
            <c:ext xmlns:c16="http://schemas.microsoft.com/office/drawing/2014/chart" uri="{C3380CC4-5D6E-409C-BE32-E72D297353CC}">
              <c16:uniqueId val="{00000003-58E7-4991-AE33-6737377E7E3E}"/>
            </c:ext>
          </c:extLst>
        </c:dLbl>
      </c:pivotFmt>
    </c:pivotFmts>
    <c:plotArea>
      <c:layout/>
      <c:barChart>
        <c:barDir val="col"/>
        <c:grouping val="stacked"/>
        <c:ser>
          <c:idx val="0"/>
          <c:order val="0"/>
          <c:tx>
            <c:strRef>
              <c:f>KPI!$X$15</c:f>
              <c:strCache>
                <c:ptCount val="1"/>
                <c:pt idx="0">
                  <c:v>Sum of SALES PRICE</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dLbls>
          <c:cat>
            <c:strRef>
              <c:f>KPI!$W$16:$W$21</c:f>
              <c:strCache>
                <c:ptCount val="5"/>
                <c:pt idx="0">
                  <c:v>DELHI</c:v>
                </c:pt>
                <c:pt idx="1">
                  <c:v>GUJARAT</c:v>
                </c:pt>
                <c:pt idx="2">
                  <c:v>KARNATAKA</c:v>
                </c:pt>
                <c:pt idx="3">
                  <c:v>MAHARASHTRA</c:v>
                </c:pt>
                <c:pt idx="4">
                  <c:v>TAMIL NADU</c:v>
                </c:pt>
              </c:strCache>
            </c:strRef>
          </c:cat>
          <c:val>
            <c:numRef>
              <c:f>KPI!$X$16:$X$21</c:f>
              <c:numCache>
                <c:formatCode>General</c:formatCode>
                <c:ptCount val="5"/>
                <c:pt idx="0">
                  <c:v>123240</c:v>
                </c:pt>
                <c:pt idx="1">
                  <c:v>134769</c:v>
                </c:pt>
                <c:pt idx="2">
                  <c:v>118910</c:v>
                </c:pt>
                <c:pt idx="3">
                  <c:v>147924</c:v>
                </c:pt>
                <c:pt idx="4">
                  <c:v>135663</c:v>
                </c:pt>
              </c:numCache>
            </c:numRef>
          </c:val>
          <c:extLst xmlns:c16r2="http://schemas.microsoft.com/office/drawing/2015/06/chart">
            <c:ext xmlns:c16="http://schemas.microsoft.com/office/drawing/2014/chart" uri="{C3380CC4-5D6E-409C-BE32-E72D297353CC}">
              <c16:uniqueId val="{00000000-58E7-4991-AE33-6737377E7E3E}"/>
            </c:ext>
          </c:extLst>
        </c:ser>
        <c:ser>
          <c:idx val="1"/>
          <c:order val="1"/>
          <c:tx>
            <c:strRef>
              <c:f>KPI!$Y$15</c:f>
              <c:strCache>
                <c:ptCount val="1"/>
                <c:pt idx="0">
                  <c:v>Sum of PROFIT</c:v>
                </c:pt>
              </c:strCache>
            </c:strRef>
          </c:tx>
          <c:spPr>
            <a:solidFill>
              <a:schemeClr val="accent2"/>
            </a:solidFill>
            <a:ln>
              <a:noFill/>
            </a:ln>
            <a:effectLst/>
          </c:spPr>
          <c:dPt>
            <c:idx val="0"/>
            <c:extLst xmlns:c16r2="http://schemas.microsoft.com/office/drawing/2015/06/chart">
              <c:ext xmlns:c16="http://schemas.microsoft.com/office/drawing/2014/chart" uri="{C3380CC4-5D6E-409C-BE32-E72D297353CC}">
                <c16:uniqueId val="{00000003-58E7-4991-AE33-6737377E7E3E}"/>
              </c:ext>
            </c:extLst>
          </c:dPt>
          <c:dLbls>
            <c:dLbl>
              <c:idx val="0"/>
              <c:layout>
                <c:manualLayout>
                  <c:x val="-1.3902441640943503E-2"/>
                  <c:y val="0.125484547442174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layout>
                    <c:manualLayout>
                      <c:w val="9.1513779527559028E-2"/>
                      <c:h val="2.0146547122260199E-2"/>
                    </c:manualLayout>
                  </c15:layout>
                </c:ext>
                <c:ext xmlns:c16="http://schemas.microsoft.com/office/drawing/2014/chart" uri="{C3380CC4-5D6E-409C-BE32-E72D297353CC}">
                  <c16:uniqueId val="{00000003-58E7-4991-AE33-6737377E7E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dLbls>
          <c:cat>
            <c:strRef>
              <c:f>KPI!$W$16:$W$21</c:f>
              <c:strCache>
                <c:ptCount val="5"/>
                <c:pt idx="0">
                  <c:v>DELHI</c:v>
                </c:pt>
                <c:pt idx="1">
                  <c:v>GUJARAT</c:v>
                </c:pt>
                <c:pt idx="2">
                  <c:v>KARNATAKA</c:v>
                </c:pt>
                <c:pt idx="3">
                  <c:v>MAHARASHTRA</c:v>
                </c:pt>
                <c:pt idx="4">
                  <c:v>TAMIL NADU</c:v>
                </c:pt>
              </c:strCache>
            </c:strRef>
          </c:cat>
          <c:val>
            <c:numRef>
              <c:f>KPI!$Y$16:$Y$21</c:f>
              <c:numCache>
                <c:formatCode>0.00%</c:formatCode>
                <c:ptCount val="5"/>
                <c:pt idx="0">
                  <c:v>0.20110408461611731</c:v>
                </c:pt>
                <c:pt idx="1">
                  <c:v>0.20644228818016541</c:v>
                </c:pt>
                <c:pt idx="2">
                  <c:v>0.17333631510724032</c:v>
                </c:pt>
                <c:pt idx="3">
                  <c:v>0.21846463491905727</c:v>
                </c:pt>
                <c:pt idx="4">
                  <c:v>0.20065267717741969</c:v>
                </c:pt>
              </c:numCache>
            </c:numRef>
          </c:val>
          <c:extLst xmlns:c16r2="http://schemas.microsoft.com/office/drawing/2015/06/chart">
            <c:ext xmlns:c16="http://schemas.microsoft.com/office/drawing/2014/chart" uri="{C3380CC4-5D6E-409C-BE32-E72D297353CC}">
              <c16:uniqueId val="{00000001-58E7-4991-AE33-6737377E7E3E}"/>
            </c:ext>
          </c:extLst>
        </c:ser>
        <c:dLbls>
          <c:showVal val="1"/>
        </c:dLbls>
        <c:gapWidth val="219"/>
        <c:overlap val="100"/>
        <c:axId val="166426112"/>
        <c:axId val="166427648"/>
      </c:barChart>
      <c:catAx>
        <c:axId val="166426112"/>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27648"/>
        <c:crosses val="autoZero"/>
        <c:auto val="1"/>
        <c:lblAlgn val="ctr"/>
        <c:lblOffset val="100"/>
      </c:catAx>
      <c:valAx>
        <c:axId val="166427648"/>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26112"/>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E74196B-B8BB-40A5-A3E8-77A6727C06F7}">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9E74196B-B8BB-40A5-A3E8-77A6727C06F7}">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2.xml"/><Relationship Id="rId7" Type="http://schemas.openxmlformats.org/officeDocument/2006/relationships/hyperlink" Target="#DATA!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11" Type="http://schemas.openxmlformats.org/officeDocument/2006/relationships/chart" Target="../charts/chart5.xml"/><Relationship Id="rId5" Type="http://schemas.openxmlformats.org/officeDocument/2006/relationships/hyperlink" Target="#KPI!A1"/><Relationship Id="rId10" Type="http://schemas.microsoft.com/office/2014/relationships/chartEx" Target="../charts/chartEx1.xml"/><Relationship Id="rId4" Type="http://schemas.openxmlformats.org/officeDocument/2006/relationships/chart" Target="../charts/chart3.xml"/><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36665</xdr:colOff>
      <xdr:row>0</xdr:row>
      <xdr:rowOff>171313</xdr:rowOff>
    </xdr:from>
    <xdr:to>
      <xdr:col>18</xdr:col>
      <xdr:colOff>157043</xdr:colOff>
      <xdr:row>6</xdr:row>
      <xdr:rowOff>11130</xdr:rowOff>
    </xdr:to>
    <xdr:sp macro="" textlink="">
      <xdr:nvSpPr>
        <xdr:cNvPr id="2" name="Rectangle 1">
          <a:extLst>
            <a:ext uri="{FF2B5EF4-FFF2-40B4-BE49-F238E27FC236}">
              <a16:creationId xmlns:a16="http://schemas.microsoft.com/office/drawing/2014/main" xmlns="" id="{45CEF7E7-81A9-A19F-2A6F-4D5C7F4FA23B}"/>
            </a:ext>
          </a:extLst>
        </xdr:cNvPr>
        <xdr:cNvSpPr/>
      </xdr:nvSpPr>
      <xdr:spPr>
        <a:xfrm>
          <a:off x="36665" y="171313"/>
          <a:ext cx="11058765" cy="945946"/>
        </a:xfrm>
        <a:prstGeom prst="rect">
          <a:avLst/>
        </a:prstGeom>
        <a:solidFill>
          <a:schemeClr val="bg1"/>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153825</xdr:colOff>
      <xdr:row>1</xdr:row>
      <xdr:rowOff>23562</xdr:rowOff>
    </xdr:from>
    <xdr:to>
      <xdr:col>4</xdr:col>
      <xdr:colOff>572925</xdr:colOff>
      <xdr:row>5</xdr:row>
      <xdr:rowOff>173940</xdr:rowOff>
    </xdr:to>
    <xdr:pic>
      <xdr:nvPicPr>
        <xdr:cNvPr id="4" name="Picture 3">
          <a:extLst>
            <a:ext uri="{FF2B5EF4-FFF2-40B4-BE49-F238E27FC236}">
              <a16:creationId xmlns:a16="http://schemas.microsoft.com/office/drawing/2014/main" xmlns="" id="{5D015FEA-E6D2-A9D8-A2EC-38DE9E41EA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xmlns="" val="0"/>
            </a:ext>
          </a:extLst>
        </a:blip>
        <a:srcRect l="374" t="22326" r="-374" b="24529"/>
        <a:stretch>
          <a:fillRect/>
        </a:stretch>
      </xdr:blipFill>
      <xdr:spPr>
        <a:xfrm>
          <a:off x="153825" y="205779"/>
          <a:ext cx="2848665" cy="879248"/>
        </a:xfrm>
        <a:prstGeom prst="rect">
          <a:avLst/>
        </a:prstGeom>
      </xdr:spPr>
    </xdr:pic>
    <xdr:clientData/>
  </xdr:twoCellAnchor>
  <xdr:twoCellAnchor>
    <xdr:from>
      <xdr:col>5</xdr:col>
      <xdr:colOff>22553</xdr:colOff>
      <xdr:row>1</xdr:row>
      <xdr:rowOff>20276</xdr:rowOff>
    </xdr:from>
    <xdr:to>
      <xdr:col>18</xdr:col>
      <xdr:colOff>95591</xdr:colOff>
      <xdr:row>6</xdr:row>
      <xdr:rowOff>1033</xdr:rowOff>
    </xdr:to>
    <xdr:sp macro="" textlink="">
      <xdr:nvSpPr>
        <xdr:cNvPr id="6" name="Rectangle 5">
          <a:extLst>
            <a:ext uri="{FF2B5EF4-FFF2-40B4-BE49-F238E27FC236}">
              <a16:creationId xmlns:a16="http://schemas.microsoft.com/office/drawing/2014/main" xmlns="" id="{A841633D-CD92-760C-2EA7-F8565F92A91B}"/>
            </a:ext>
          </a:extLst>
        </xdr:cNvPr>
        <xdr:cNvSpPr/>
      </xdr:nvSpPr>
      <xdr:spPr>
        <a:xfrm>
          <a:off x="3060994" y="204631"/>
          <a:ext cx="7972984" cy="902531"/>
        </a:xfrm>
        <a:prstGeom prst="rect">
          <a:avLst/>
        </a:prstGeom>
        <a:solidFill>
          <a:srgbClr val="99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solidFill>
              <a:effectLst>
                <a:outerShdw blurRad="50800" dist="38100" dir="16200000" rotWithShape="0">
                  <a:prstClr val="black">
                    <a:alpha val="40000"/>
                  </a:prstClr>
                </a:outerShdw>
              </a:effectLst>
            </a:rPr>
            <a:t>SALES DASHBOARD (2024-2025)</a:t>
          </a:r>
        </a:p>
      </xdr:txBody>
    </xdr:sp>
    <xdr:clientData/>
  </xdr:twoCellAnchor>
  <xdr:twoCellAnchor editAs="oneCell">
    <xdr:from>
      <xdr:col>0</xdr:col>
      <xdr:colOff>57727</xdr:colOff>
      <xdr:row>6</xdr:row>
      <xdr:rowOff>0</xdr:rowOff>
    </xdr:from>
    <xdr:to>
      <xdr:col>2</xdr:col>
      <xdr:colOff>301464</xdr:colOff>
      <xdr:row>13</xdr:row>
      <xdr:rowOff>134697</xdr:rowOff>
    </xdr:to>
    <mc:AlternateContent xmlns:mc="http://schemas.openxmlformats.org/markup-compatibility/2006">
      <mc:Choice xmlns:a14="http://schemas.microsoft.com/office/drawing/2010/main" xmlns="" Requires="a14">
        <xdr:graphicFrame macro="">
          <xdr:nvGraphicFramePr>
            <xdr:cNvPr id="7" name="CATEGORY 1">
              <a:extLst>
                <a:ext uri="{FF2B5EF4-FFF2-40B4-BE49-F238E27FC236}">
                  <a16:creationId xmlns:a16="http://schemas.microsoft.com/office/drawing/2014/main" id="{529A58EB-2215-4F27-93F9-E919A48587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5" name="Rectangle 4"/>
            <xdr:cNvSpPr>
              <a:spLocks noTextEdit="1"/>
            </xdr:cNvSpPr>
          </xdr:nvSpPr>
          <xdr:spPr>
            <a:xfrm>
              <a:off x="57727" y="1094362"/>
              <a:ext cx="1459694" cy="1411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352778</xdr:colOff>
      <xdr:row>6</xdr:row>
      <xdr:rowOff>39312</xdr:rowOff>
    </xdr:from>
    <xdr:to>
      <xdr:col>7</xdr:col>
      <xdr:colOff>262980</xdr:colOff>
      <xdr:row>14</xdr:row>
      <xdr:rowOff>47794</xdr:rowOff>
    </xdr:to>
    <xdr:sp macro="" textlink="">
      <xdr:nvSpPr>
        <xdr:cNvPr id="8" name="Rectangle 7">
          <a:extLst>
            <a:ext uri="{FF2B5EF4-FFF2-40B4-BE49-F238E27FC236}">
              <a16:creationId xmlns:a16="http://schemas.microsoft.com/office/drawing/2014/main" xmlns="" id="{88908741-3BAC-A152-C7C9-F28496E3B351}"/>
            </a:ext>
          </a:extLst>
        </xdr:cNvPr>
        <xdr:cNvSpPr/>
      </xdr:nvSpPr>
      <xdr:spPr>
        <a:xfrm>
          <a:off x="1568154" y="1145441"/>
          <a:ext cx="2948643" cy="148332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 SALES</a:t>
          </a:r>
        </a:p>
      </xdr:txBody>
    </xdr:sp>
    <xdr:clientData/>
  </xdr:twoCellAnchor>
  <xdr:twoCellAnchor>
    <xdr:from>
      <xdr:col>7</xdr:col>
      <xdr:colOff>318225</xdr:colOff>
      <xdr:row>6</xdr:row>
      <xdr:rowOff>47797</xdr:rowOff>
    </xdr:from>
    <xdr:to>
      <xdr:col>12</xdr:col>
      <xdr:colOff>566720</xdr:colOff>
      <xdr:row>14</xdr:row>
      <xdr:rowOff>47591</xdr:rowOff>
    </xdr:to>
    <xdr:sp macro="" textlink="">
      <xdr:nvSpPr>
        <xdr:cNvPr id="11" name="Rectangle 10">
          <a:extLst>
            <a:ext uri="{FF2B5EF4-FFF2-40B4-BE49-F238E27FC236}">
              <a16:creationId xmlns:a16="http://schemas.microsoft.com/office/drawing/2014/main" xmlns="" id="{5E0CAA61-B3F5-AE98-1A06-36555FFC5BE9}"/>
            </a:ext>
          </a:extLst>
        </xdr:cNvPr>
        <xdr:cNvSpPr/>
      </xdr:nvSpPr>
      <xdr:spPr>
        <a:xfrm>
          <a:off x="4572042" y="1153926"/>
          <a:ext cx="3286936" cy="147463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 PURCHASE</a:t>
          </a:r>
        </a:p>
      </xdr:txBody>
    </xdr:sp>
    <xdr:clientData/>
  </xdr:twoCellAnchor>
  <xdr:twoCellAnchor>
    <xdr:from>
      <xdr:col>13</xdr:col>
      <xdr:colOff>17228</xdr:colOff>
      <xdr:row>6</xdr:row>
      <xdr:rowOff>44899</xdr:rowOff>
    </xdr:from>
    <xdr:to>
      <xdr:col>18</xdr:col>
      <xdr:colOff>158539</xdr:colOff>
      <xdr:row>14</xdr:row>
      <xdr:rowOff>47795</xdr:rowOff>
    </xdr:to>
    <xdr:sp macro="" textlink="">
      <xdr:nvSpPr>
        <xdr:cNvPr id="12" name="Rectangle 11">
          <a:extLst>
            <a:ext uri="{FF2B5EF4-FFF2-40B4-BE49-F238E27FC236}">
              <a16:creationId xmlns:a16="http://schemas.microsoft.com/office/drawing/2014/main" xmlns="" id="{026C5390-7FB9-0C5C-15B6-C75F72588305}"/>
            </a:ext>
          </a:extLst>
        </xdr:cNvPr>
        <xdr:cNvSpPr/>
      </xdr:nvSpPr>
      <xdr:spPr>
        <a:xfrm>
          <a:off x="7954728" y="1143937"/>
          <a:ext cx="3194196" cy="146828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 PROFIT</a:t>
          </a:r>
        </a:p>
      </xdr:txBody>
    </xdr:sp>
    <xdr:clientData/>
  </xdr:twoCellAnchor>
  <xdr:twoCellAnchor>
    <xdr:from>
      <xdr:col>2</xdr:col>
      <xdr:colOff>505644</xdr:colOff>
      <xdr:row>9</xdr:row>
      <xdr:rowOff>52043</xdr:rowOff>
    </xdr:from>
    <xdr:to>
      <xdr:col>4</xdr:col>
      <xdr:colOff>584243</xdr:colOff>
      <xdr:row>11</xdr:row>
      <xdr:rowOff>160425</xdr:rowOff>
    </xdr:to>
    <xdr:sp macro="" textlink="KPI!$B$13">
      <xdr:nvSpPr>
        <xdr:cNvPr id="13" name="Rectangle 12">
          <a:extLst>
            <a:ext uri="{FF2B5EF4-FFF2-40B4-BE49-F238E27FC236}">
              <a16:creationId xmlns:a16="http://schemas.microsoft.com/office/drawing/2014/main" xmlns="" id="{07163E35-E167-407D-B2B9-77873D10E223}"/>
            </a:ext>
          </a:extLst>
        </xdr:cNvPr>
        <xdr:cNvSpPr/>
      </xdr:nvSpPr>
      <xdr:spPr>
        <a:xfrm>
          <a:off x="1727590" y="1720205"/>
          <a:ext cx="1300545" cy="479085"/>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33A439D-2EC3-41AE-9BA4-9319A747A583}" type="TxLink">
            <a:rPr lang="en-US" sz="2800" b="1" i="0" u="none" strike="noStrike">
              <a:solidFill>
                <a:schemeClr val="bg1"/>
              </a:solidFill>
              <a:latin typeface="Calibri"/>
              <a:ea typeface="Calibri"/>
              <a:cs typeface="Calibri"/>
            </a:rPr>
            <a:pPr algn="l"/>
            <a:t>660506</a:t>
          </a:fld>
          <a:endParaRPr lang="en-IN" sz="2800" b="1">
            <a:solidFill>
              <a:schemeClr val="bg1"/>
            </a:solidFill>
          </a:endParaRPr>
        </a:p>
      </xdr:txBody>
    </xdr:sp>
    <xdr:clientData/>
  </xdr:twoCellAnchor>
  <xdr:twoCellAnchor>
    <xdr:from>
      <xdr:col>7</xdr:col>
      <xdr:colOff>490838</xdr:colOff>
      <xdr:row>9</xdr:row>
      <xdr:rowOff>48054</xdr:rowOff>
    </xdr:from>
    <xdr:to>
      <xdr:col>10</xdr:col>
      <xdr:colOff>202512</xdr:colOff>
      <xdr:row>12</xdr:row>
      <xdr:rowOff>0</xdr:rowOff>
    </xdr:to>
    <xdr:sp macro="" textlink="KPI!$E$13">
      <xdr:nvSpPr>
        <xdr:cNvPr id="14" name="Rectangle 13">
          <a:extLst>
            <a:ext uri="{FF2B5EF4-FFF2-40B4-BE49-F238E27FC236}">
              <a16:creationId xmlns:a16="http://schemas.microsoft.com/office/drawing/2014/main" xmlns="" id="{6E879E14-BF9A-44BC-9DCF-5472ECBF2294}"/>
            </a:ext>
          </a:extLst>
        </xdr:cNvPr>
        <xdr:cNvSpPr/>
      </xdr:nvSpPr>
      <xdr:spPr>
        <a:xfrm>
          <a:off x="4767649" y="1716216"/>
          <a:ext cx="1544593" cy="508000"/>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68617F1-4AA3-4D48-9CDF-4C8268A230E2}" type="TxLink">
            <a:rPr lang="en-US" sz="2800" b="1" i="0" u="none" strike="noStrike">
              <a:solidFill>
                <a:schemeClr val="bg1"/>
              </a:solidFill>
              <a:latin typeface="Calibri"/>
              <a:ea typeface="Calibri"/>
              <a:cs typeface="Calibri"/>
            </a:rPr>
            <a:pPr algn="l"/>
            <a:t>419039</a:t>
          </a:fld>
          <a:endParaRPr lang="en-IN" sz="2800" b="1">
            <a:solidFill>
              <a:schemeClr val="bg1"/>
            </a:solidFill>
          </a:endParaRPr>
        </a:p>
      </xdr:txBody>
    </xdr:sp>
    <xdr:clientData/>
  </xdr:twoCellAnchor>
  <xdr:twoCellAnchor>
    <xdr:from>
      <xdr:col>13</xdr:col>
      <xdr:colOff>156232</xdr:colOff>
      <xdr:row>9</xdr:row>
      <xdr:rowOff>34988</xdr:rowOff>
    </xdr:from>
    <xdr:to>
      <xdr:col>15</xdr:col>
      <xdr:colOff>334866</xdr:colOff>
      <xdr:row>12</xdr:row>
      <xdr:rowOff>27311</xdr:rowOff>
    </xdr:to>
    <xdr:sp macro="" textlink="KPI!$I$13">
      <xdr:nvSpPr>
        <xdr:cNvPr id="15" name="Rectangle 14">
          <a:extLst>
            <a:ext uri="{FF2B5EF4-FFF2-40B4-BE49-F238E27FC236}">
              <a16:creationId xmlns:a16="http://schemas.microsoft.com/office/drawing/2014/main" xmlns="" id="{149B8E57-82A8-44A0-A1D8-7B109160302D}"/>
            </a:ext>
          </a:extLst>
        </xdr:cNvPr>
        <xdr:cNvSpPr/>
      </xdr:nvSpPr>
      <xdr:spPr>
        <a:xfrm>
          <a:off x="8056178" y="1694182"/>
          <a:ext cx="1394011" cy="545387"/>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026DA5B-2B1B-4AF2-A45E-6AA975823C67}" type="TxLink">
            <a:rPr lang="en-US" sz="2800" b="1" i="0" u="none" strike="noStrike">
              <a:solidFill>
                <a:schemeClr val="bg1"/>
              </a:solidFill>
              <a:latin typeface="Calibri"/>
              <a:ea typeface="Calibri"/>
              <a:cs typeface="Calibri"/>
            </a:rPr>
            <a:pPr algn="l"/>
            <a:t>241467</a:t>
          </a:fld>
          <a:endParaRPr lang="en-IN" sz="2800" b="1">
            <a:solidFill>
              <a:schemeClr val="bg1"/>
            </a:solidFill>
          </a:endParaRPr>
        </a:p>
      </xdr:txBody>
    </xdr:sp>
    <xdr:clientData/>
  </xdr:twoCellAnchor>
  <xdr:twoCellAnchor>
    <xdr:from>
      <xdr:col>5</xdr:col>
      <xdr:colOff>10633</xdr:colOff>
      <xdr:row>6</xdr:row>
      <xdr:rowOff>60769</xdr:rowOff>
    </xdr:from>
    <xdr:to>
      <xdr:col>7</xdr:col>
      <xdr:colOff>249612</xdr:colOff>
      <xdr:row>13</xdr:row>
      <xdr:rowOff>156360</xdr:rowOff>
    </xdr:to>
    <xdr:graphicFrame macro="">
      <xdr:nvGraphicFramePr>
        <xdr:cNvPr id="16" name="Chart 15">
          <a:extLst>
            <a:ext uri="{FF2B5EF4-FFF2-40B4-BE49-F238E27FC236}">
              <a16:creationId xmlns:a16="http://schemas.microsoft.com/office/drawing/2014/main" xmlns="" id="{59A1FC97-52BD-496A-9EBF-2303C0D3D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306969</xdr:colOff>
      <xdr:row>6</xdr:row>
      <xdr:rowOff>61234</xdr:rowOff>
    </xdr:from>
    <xdr:to>
      <xdr:col>12</xdr:col>
      <xdr:colOff>566431</xdr:colOff>
      <xdr:row>14</xdr:row>
      <xdr:rowOff>15400</xdr:rowOff>
    </xdr:to>
    <xdr:graphicFrame macro="">
      <xdr:nvGraphicFramePr>
        <xdr:cNvPr id="17" name="Chart 16">
          <a:extLst>
            <a:ext uri="{FF2B5EF4-FFF2-40B4-BE49-F238E27FC236}">
              <a16:creationId xmlns:a16="http://schemas.microsoft.com/office/drawing/2014/main" xmlns="" id="{38BA997B-BFB3-4FA6-85E0-73A6BA101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402418</xdr:colOff>
      <xdr:row>6</xdr:row>
      <xdr:rowOff>28031</xdr:rowOff>
    </xdr:from>
    <xdr:to>
      <xdr:col>18</xdr:col>
      <xdr:colOff>142956</xdr:colOff>
      <xdr:row>13</xdr:row>
      <xdr:rowOff>182217</xdr:rowOff>
    </xdr:to>
    <xdr:graphicFrame macro="">
      <xdr:nvGraphicFramePr>
        <xdr:cNvPr id="18" name="Chart 17">
          <a:extLst>
            <a:ext uri="{FF2B5EF4-FFF2-40B4-BE49-F238E27FC236}">
              <a16:creationId xmlns:a16="http://schemas.microsoft.com/office/drawing/2014/main" xmlns="" id="{B22703E8-B34A-4F70-B5BC-53EBFE206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68278</xdr:colOff>
      <xdr:row>14</xdr:row>
      <xdr:rowOff>163870</xdr:rowOff>
    </xdr:from>
    <xdr:to>
      <xdr:col>2</xdr:col>
      <xdr:colOff>409677</xdr:colOff>
      <xdr:row>27</xdr:row>
      <xdr:rowOff>54623</xdr:rowOff>
    </xdr:to>
    <xdr:sp macro="" textlink="">
      <xdr:nvSpPr>
        <xdr:cNvPr id="19" name="Rectangle 18">
          <a:extLst>
            <a:ext uri="{FF2B5EF4-FFF2-40B4-BE49-F238E27FC236}">
              <a16:creationId xmlns:a16="http://schemas.microsoft.com/office/drawing/2014/main" xmlns="" id="{7F9CDA84-3360-683E-C26A-474927399BA1}"/>
            </a:ext>
          </a:extLst>
        </xdr:cNvPr>
        <xdr:cNvSpPr/>
      </xdr:nvSpPr>
      <xdr:spPr>
        <a:xfrm>
          <a:off x="68278" y="2760454"/>
          <a:ext cx="1561102" cy="230186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250150</xdr:colOff>
      <xdr:row>15</xdr:row>
      <xdr:rowOff>64141</xdr:rowOff>
    </xdr:from>
    <xdr:to>
      <xdr:col>2</xdr:col>
      <xdr:colOff>211666</xdr:colOff>
      <xdr:row>20</xdr:row>
      <xdr:rowOff>109040</xdr:rowOff>
    </xdr:to>
    <xdr:pic>
      <xdr:nvPicPr>
        <xdr:cNvPr id="21" name="Picture 20">
          <a:hlinkClick xmlns:r="http://schemas.openxmlformats.org/officeDocument/2006/relationships" r:id="rId5"/>
          <a:extLst>
            <a:ext uri="{FF2B5EF4-FFF2-40B4-BE49-F238E27FC236}">
              <a16:creationId xmlns:a16="http://schemas.microsoft.com/office/drawing/2014/main" xmlns="" id="{423A8BE1-342B-26C5-525A-78E332881621}"/>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xmlns="" val="0"/>
            </a:ext>
          </a:extLst>
        </a:blip>
        <a:srcRect l="18475" t="13381" r="19045" b="11936"/>
        <a:stretch>
          <a:fillRect/>
        </a:stretch>
      </xdr:blipFill>
      <xdr:spPr>
        <a:xfrm>
          <a:off x="250150" y="2854293"/>
          <a:ext cx="1180203" cy="974949"/>
        </a:xfrm>
        <a:prstGeom prst="rect">
          <a:avLst/>
        </a:prstGeom>
      </xdr:spPr>
    </xdr:pic>
    <xdr:clientData/>
  </xdr:twoCellAnchor>
  <xdr:twoCellAnchor editAs="oneCell">
    <xdr:from>
      <xdr:col>0</xdr:col>
      <xdr:colOff>230481</xdr:colOff>
      <xdr:row>21</xdr:row>
      <xdr:rowOff>9408</xdr:rowOff>
    </xdr:from>
    <xdr:to>
      <xdr:col>2</xdr:col>
      <xdr:colOff>263407</xdr:colOff>
      <xdr:row>26</xdr:row>
      <xdr:rowOff>117592</xdr:rowOff>
    </xdr:to>
    <xdr:pic>
      <xdr:nvPicPr>
        <xdr:cNvPr id="25" name="Picture 24">
          <a:hlinkClick xmlns:r="http://schemas.openxmlformats.org/officeDocument/2006/relationships" r:id="rId7"/>
          <a:extLst>
            <a:ext uri="{FF2B5EF4-FFF2-40B4-BE49-F238E27FC236}">
              <a16:creationId xmlns:a16="http://schemas.microsoft.com/office/drawing/2014/main" xmlns="" id="{9BB81592-8008-02C2-FFFA-647D3DA877C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xmlns="" val="0"/>
            </a:ext>
          </a:extLst>
        </a:blip>
        <a:srcRect l="13315" t="14545" r="14131" b="23182"/>
        <a:stretch>
          <a:fillRect/>
        </a:stretch>
      </xdr:blipFill>
      <xdr:spPr>
        <a:xfrm>
          <a:off x="230481" y="3861741"/>
          <a:ext cx="1255889" cy="1025407"/>
        </a:xfrm>
        <a:prstGeom prst="rect">
          <a:avLst/>
        </a:prstGeom>
      </xdr:spPr>
    </xdr:pic>
    <xdr:clientData/>
  </xdr:twoCellAnchor>
  <xdr:twoCellAnchor>
    <xdr:from>
      <xdr:col>2</xdr:col>
      <xdr:colOff>451782</xdr:colOff>
      <xdr:row>17</xdr:row>
      <xdr:rowOff>76345</xdr:rowOff>
    </xdr:from>
    <xdr:to>
      <xdr:col>9</xdr:col>
      <xdr:colOff>347872</xdr:colOff>
      <xdr:row>26</xdr:row>
      <xdr:rowOff>27609</xdr:rowOff>
    </xdr:to>
    <xdr:sp macro="" textlink="">
      <xdr:nvSpPr>
        <xdr:cNvPr id="26" name="Rectangle 25">
          <a:extLst>
            <a:ext uri="{FF2B5EF4-FFF2-40B4-BE49-F238E27FC236}">
              <a16:creationId xmlns:a16="http://schemas.microsoft.com/office/drawing/2014/main" xmlns="" id="{37BB7549-63B7-EFA7-3FF7-9DA94094BFC6}"/>
            </a:ext>
          </a:extLst>
        </xdr:cNvPr>
        <xdr:cNvSpPr/>
      </xdr:nvSpPr>
      <xdr:spPr>
        <a:xfrm>
          <a:off x="1666565" y="3174041"/>
          <a:ext cx="4147829" cy="15912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463690</xdr:colOff>
      <xdr:row>14</xdr:row>
      <xdr:rowOff>132522</xdr:rowOff>
    </xdr:from>
    <xdr:to>
      <xdr:col>9</xdr:col>
      <xdr:colOff>353391</xdr:colOff>
      <xdr:row>26</xdr:row>
      <xdr:rowOff>77305</xdr:rowOff>
    </xdr:to>
    <xdr:graphicFrame macro="">
      <xdr:nvGraphicFramePr>
        <xdr:cNvPr id="27" name="Chart 26">
          <a:extLst>
            <a:ext uri="{FF2B5EF4-FFF2-40B4-BE49-F238E27FC236}">
              <a16:creationId xmlns:a16="http://schemas.microsoft.com/office/drawing/2014/main" xmlns="" id="{E7FAC65C-AC4F-452F-BF95-4AECDE14B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373153</xdr:colOff>
      <xdr:row>14</xdr:row>
      <xdr:rowOff>47079</xdr:rowOff>
    </xdr:from>
    <xdr:to>
      <xdr:col>19</xdr:col>
      <xdr:colOff>506837</xdr:colOff>
      <xdr:row>26</xdr:row>
      <xdr:rowOff>160131</xdr:rowOff>
    </xdr:to>
    <xdr:sp macro="" textlink="">
      <xdr:nvSpPr>
        <xdr:cNvPr id="28" name="Rectangle 27">
          <a:extLst>
            <a:ext uri="{FF2B5EF4-FFF2-40B4-BE49-F238E27FC236}">
              <a16:creationId xmlns:a16="http://schemas.microsoft.com/office/drawing/2014/main" xmlns="" id="{2CC57A4E-64DE-30D0-E24C-E5659BCB17A8}"/>
            </a:ext>
          </a:extLst>
        </xdr:cNvPr>
        <xdr:cNvSpPr/>
      </xdr:nvSpPr>
      <xdr:spPr>
        <a:xfrm>
          <a:off x="5839675" y="2598122"/>
          <a:ext cx="6207597" cy="22996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362111</xdr:colOff>
      <xdr:row>14</xdr:row>
      <xdr:rowOff>83408</xdr:rowOff>
    </xdr:from>
    <xdr:to>
      <xdr:col>15</xdr:col>
      <xdr:colOff>101427</xdr:colOff>
      <xdr:row>26</xdr:row>
      <xdr:rowOff>115957</xdr:rowOff>
    </xdr:to>
    <mc:AlternateContent xmlns:mc="http://schemas.openxmlformats.org/markup-compatibility/2006">
      <mc:Choice xmlns:cx1="http://schemas.microsoft.com/office/drawing/2015/9/8/chartex" xmlns="" Requires="cx1">
        <xdr:graphicFrame macro="">
          <xdr:nvGraphicFramePr>
            <xdr:cNvPr id="29" name="Chart 28">
              <a:extLst>
                <a:ext uri="{FF2B5EF4-FFF2-40B4-BE49-F238E27FC236}">
                  <a16:creationId xmlns:a16="http://schemas.microsoft.com/office/drawing/2014/main" id="{BC775E56-11B5-4DFF-8F2F-AEF2A787D7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22" name="Rectangle 21"/>
            <xdr:cNvSpPr>
              <a:spLocks noTextEdit="1"/>
            </xdr:cNvSpPr>
          </xdr:nvSpPr>
          <xdr:spPr>
            <a:xfrm>
              <a:off x="5779931" y="2643728"/>
              <a:ext cx="3351196" cy="22271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142694</xdr:colOff>
      <xdr:row>14</xdr:row>
      <xdr:rowOff>163910</xdr:rowOff>
    </xdr:from>
    <xdr:to>
      <xdr:col>19</xdr:col>
      <xdr:colOff>450167</xdr:colOff>
      <xdr:row>26</xdr:row>
      <xdr:rowOff>99391</xdr:rowOff>
    </xdr:to>
    <xdr:graphicFrame macro="">
      <xdr:nvGraphicFramePr>
        <xdr:cNvPr id="30" name="Chart 29">
          <a:extLst>
            <a:ext uri="{FF2B5EF4-FFF2-40B4-BE49-F238E27FC236}">
              <a16:creationId xmlns:a16="http://schemas.microsoft.com/office/drawing/2014/main" xmlns="" id="{A79B3BCA-EC3E-482B-B200-EB23A2C9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0</xdr:row>
      <xdr:rowOff>152400</xdr:rowOff>
    </xdr:from>
    <xdr:to>
      <xdr:col>1</xdr:col>
      <xdr:colOff>965062</xdr:colOff>
      <xdr:row>10</xdr:row>
      <xdr:rowOff>2720</xdr:rowOff>
    </xdr:to>
    <mc:AlternateContent xmlns:mc="http://schemas.openxmlformats.org/markup-compatibility/2006">
      <mc:Choice xmlns:a14="http://schemas.microsoft.com/office/drawing/2010/main" xmlns="" Requires="a14">
        <xdr:graphicFrame macro="">
          <xdr:nvGraphicFramePr>
            <xdr:cNvPr id="2" name="CATEGORY">
              <a:extLst>
                <a:ext uri="{FF2B5EF4-FFF2-40B4-BE49-F238E27FC236}">
                  <a16:creationId xmlns:a16="http://schemas.microsoft.com/office/drawing/2014/main" id="{D279BA07-B2B6-9975-BFCE-C065E81C53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2" name="Rectangle 1"/>
            <xdr:cNvSpPr>
              <a:spLocks noTextEdit="1"/>
            </xdr:cNvSpPr>
          </xdr:nvSpPr>
          <xdr:spPr>
            <a:xfrm>
              <a:off x="88900" y="152400"/>
              <a:ext cx="1846520" cy="164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22</xdr:row>
      <xdr:rowOff>120650</xdr:rowOff>
    </xdr:from>
    <xdr:to>
      <xdr:col>0</xdr:col>
      <xdr:colOff>819150</xdr:colOff>
      <xdr:row>25</xdr:row>
      <xdr:rowOff>63500</xdr:rowOff>
    </xdr:to>
    <xdr:sp macro="" textlink="$B$13">
      <xdr:nvSpPr>
        <xdr:cNvPr id="3" name="Rectangle 2">
          <a:extLst>
            <a:ext uri="{FF2B5EF4-FFF2-40B4-BE49-F238E27FC236}">
              <a16:creationId xmlns:a16="http://schemas.microsoft.com/office/drawing/2014/main" xmlns="" id="{0A14E05A-67D7-0E46-C3C1-FC93D2C462CA}"/>
            </a:ext>
          </a:extLst>
        </xdr:cNvPr>
        <xdr:cNvSpPr/>
      </xdr:nvSpPr>
      <xdr:spPr>
        <a:xfrm>
          <a:off x="69850" y="4171950"/>
          <a:ext cx="749300" cy="495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EE6E93-D1C6-4D13-8C3F-E5688FE70D07}" type="TxLink">
            <a:rPr lang="en-US" sz="1100" b="0" i="0" u="none" strike="noStrike">
              <a:solidFill>
                <a:srgbClr val="000000"/>
              </a:solidFill>
              <a:latin typeface="Calibri"/>
              <a:ea typeface="Calibri"/>
              <a:cs typeface="Calibri"/>
            </a:rPr>
            <a:pPr algn="l"/>
            <a:t>660506</a:t>
          </a:fld>
          <a:endParaRPr lang="en-IN" sz="1100"/>
        </a:p>
      </xdr:txBody>
    </xdr:sp>
    <xdr:clientData/>
  </xdr:twoCellAnchor>
  <xdr:twoCellAnchor>
    <xdr:from>
      <xdr:col>0</xdr:col>
      <xdr:colOff>161618</xdr:colOff>
      <xdr:row>26</xdr:row>
      <xdr:rowOff>71693</xdr:rowOff>
    </xdr:from>
    <xdr:to>
      <xdr:col>2</xdr:col>
      <xdr:colOff>314427</xdr:colOff>
      <xdr:row>39</xdr:row>
      <xdr:rowOff>20484</xdr:rowOff>
    </xdr:to>
    <xdr:graphicFrame macro="">
      <xdr:nvGraphicFramePr>
        <xdr:cNvPr id="4" name="Chart 3">
          <a:extLst>
            <a:ext uri="{FF2B5EF4-FFF2-40B4-BE49-F238E27FC236}">
              <a16:creationId xmlns:a16="http://schemas.microsoft.com/office/drawing/2014/main" xmlns="" id="{B4F92336-B675-FD48-9E60-C6A8C5963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32732</xdr:colOff>
      <xdr:row>22</xdr:row>
      <xdr:rowOff>26186</xdr:rowOff>
    </xdr:from>
    <xdr:to>
      <xdr:col>5</xdr:col>
      <xdr:colOff>432062</xdr:colOff>
      <xdr:row>24</xdr:row>
      <xdr:rowOff>19639</xdr:rowOff>
    </xdr:to>
    <xdr:sp macro="" textlink="$E$13">
      <xdr:nvSpPr>
        <xdr:cNvPr id="5" name="Rectangle 4">
          <a:extLst>
            <a:ext uri="{FF2B5EF4-FFF2-40B4-BE49-F238E27FC236}">
              <a16:creationId xmlns:a16="http://schemas.microsoft.com/office/drawing/2014/main" xmlns="" id="{B005CB2E-6CC1-0A9A-DDAC-285A80B6EDBA}"/>
            </a:ext>
          </a:extLst>
        </xdr:cNvPr>
        <xdr:cNvSpPr/>
      </xdr:nvSpPr>
      <xdr:spPr>
        <a:xfrm>
          <a:off x="3325567" y="4058763"/>
          <a:ext cx="1263454" cy="3600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BF9765-E38E-44C9-B600-2E1A98890B99}" type="TxLink">
            <a:rPr lang="en-US" sz="1100" b="0" i="0" u="none" strike="noStrike">
              <a:solidFill>
                <a:srgbClr val="000000"/>
              </a:solidFill>
              <a:latin typeface="Calibri"/>
              <a:ea typeface="Calibri"/>
              <a:cs typeface="Calibri"/>
            </a:rPr>
            <a:pPr algn="l"/>
            <a:t>419039</a:t>
          </a:fld>
          <a:endParaRPr lang="en-IN" sz="1100"/>
        </a:p>
      </xdr:txBody>
    </xdr:sp>
    <xdr:clientData/>
  </xdr:twoCellAnchor>
  <xdr:twoCellAnchor>
    <xdr:from>
      <xdr:col>4</xdr:col>
      <xdr:colOff>72010</xdr:colOff>
      <xdr:row>26</xdr:row>
      <xdr:rowOff>39278</xdr:rowOff>
    </xdr:from>
    <xdr:to>
      <xdr:col>5</xdr:col>
      <xdr:colOff>1394380</xdr:colOff>
      <xdr:row>38</xdr:row>
      <xdr:rowOff>71438</xdr:rowOff>
    </xdr:to>
    <xdr:graphicFrame macro="">
      <xdr:nvGraphicFramePr>
        <xdr:cNvPr id="6" name="Chart 5">
          <a:extLst>
            <a:ext uri="{FF2B5EF4-FFF2-40B4-BE49-F238E27FC236}">
              <a16:creationId xmlns:a16="http://schemas.microsoft.com/office/drawing/2014/main" xmlns="" id="{0814736B-2B27-034D-AC71-0941728ED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545968</xdr:colOff>
      <xdr:row>22</xdr:row>
      <xdr:rowOff>32732</xdr:rowOff>
    </xdr:from>
    <xdr:to>
      <xdr:col>9</xdr:col>
      <xdr:colOff>820918</xdr:colOff>
      <xdr:row>24</xdr:row>
      <xdr:rowOff>150567</xdr:rowOff>
    </xdr:to>
    <xdr:sp macro="" textlink="$I$13">
      <xdr:nvSpPr>
        <xdr:cNvPr id="7" name="Rectangle 6">
          <a:extLst>
            <a:ext uri="{FF2B5EF4-FFF2-40B4-BE49-F238E27FC236}">
              <a16:creationId xmlns:a16="http://schemas.microsoft.com/office/drawing/2014/main" xmlns="" id="{7B4B3DBA-B2E3-25E8-6836-8068F23EE9E7}"/>
            </a:ext>
          </a:extLst>
        </xdr:cNvPr>
        <xdr:cNvSpPr/>
      </xdr:nvSpPr>
      <xdr:spPr>
        <a:xfrm>
          <a:off x="6800718" y="4049107"/>
          <a:ext cx="1751325" cy="4829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FA5DB5-BB40-43AF-B5DD-472DFBCF44EF}" type="TxLink">
            <a:rPr lang="en-US" sz="1100" b="0" i="0" u="none" strike="noStrike">
              <a:solidFill>
                <a:srgbClr val="000000"/>
              </a:solidFill>
              <a:latin typeface="Calibri"/>
              <a:ea typeface="Calibri"/>
              <a:cs typeface="Calibri"/>
            </a:rPr>
            <a:pPr algn="l"/>
            <a:t>241467</a:t>
          </a:fld>
          <a:endParaRPr lang="en-IN" sz="1100"/>
        </a:p>
      </xdr:txBody>
    </xdr:sp>
    <xdr:clientData/>
  </xdr:twoCellAnchor>
  <xdr:twoCellAnchor>
    <xdr:from>
      <xdr:col>7</xdr:col>
      <xdr:colOff>333375</xdr:colOff>
      <xdr:row>25</xdr:row>
      <xdr:rowOff>127001</xdr:rowOff>
    </xdr:from>
    <xdr:to>
      <xdr:col>10</xdr:col>
      <xdr:colOff>373063</xdr:colOff>
      <xdr:row>38</xdr:row>
      <xdr:rowOff>111125</xdr:rowOff>
    </xdr:to>
    <xdr:graphicFrame macro="">
      <xdr:nvGraphicFramePr>
        <xdr:cNvPr id="8" name="Chart 7">
          <a:extLst>
            <a:ext uri="{FF2B5EF4-FFF2-40B4-BE49-F238E27FC236}">
              <a16:creationId xmlns:a16="http://schemas.microsoft.com/office/drawing/2014/main" xmlns="" id="{1C871D04-FDDB-8FDD-CC53-06B147DD6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579438</xdr:colOff>
      <xdr:row>28</xdr:row>
      <xdr:rowOff>144463</xdr:rowOff>
    </xdr:from>
    <xdr:to>
      <xdr:col>15</xdr:col>
      <xdr:colOff>404813</xdr:colOff>
      <xdr:row>43</xdr:row>
      <xdr:rowOff>149225</xdr:rowOff>
    </xdr:to>
    <xdr:graphicFrame macro="">
      <xdr:nvGraphicFramePr>
        <xdr:cNvPr id="9" name="Chart 8">
          <a:extLst>
            <a:ext uri="{FF2B5EF4-FFF2-40B4-BE49-F238E27FC236}">
              <a16:creationId xmlns:a16="http://schemas.microsoft.com/office/drawing/2014/main" xmlns="" id="{8E05E972-083A-9FFA-6FAB-A13B7D7B1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70556</xdr:colOff>
      <xdr:row>46</xdr:row>
      <xdr:rowOff>11760</xdr:rowOff>
    </xdr:from>
    <xdr:to>
      <xdr:col>15</xdr:col>
      <xdr:colOff>423333</xdr:colOff>
      <xdr:row>62</xdr:row>
      <xdr:rowOff>176390</xdr:rowOff>
    </xdr:to>
    <mc:AlternateContent xmlns:mc="http://schemas.openxmlformats.org/markup-compatibility/2006">
      <mc:Choice xmlns:cx1="http://schemas.microsoft.com/office/drawing/2015/9/8/chartex" xmlns="" Requires="cx1">
        <xdr:graphicFrame macro="">
          <xdr:nvGraphicFramePr>
            <xdr:cNvPr id="10" name="Chart 9">
              <a:extLst>
                <a:ext uri="{FF2B5EF4-FFF2-40B4-BE49-F238E27FC236}">
                  <a16:creationId xmlns:a16="http://schemas.microsoft.com/office/drawing/2014/main" id="{076A3B0F-E1F9-4200-9418-5801C7F701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10" name="Rectangle 9"/>
            <xdr:cNvSpPr>
              <a:spLocks noTextEdit="1"/>
            </xdr:cNvSpPr>
          </xdr:nvSpPr>
          <xdr:spPr>
            <a:xfrm>
              <a:off x="9610796" y="8424240"/>
              <a:ext cx="4063717" cy="3090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65853</xdr:colOff>
      <xdr:row>76</xdr:row>
      <xdr:rowOff>174625</xdr:rowOff>
    </xdr:from>
    <xdr:to>
      <xdr:col>19</xdr:col>
      <xdr:colOff>666750</xdr:colOff>
      <xdr:row>91</xdr:row>
      <xdr:rowOff>142875</xdr:rowOff>
    </xdr:to>
    <xdr:graphicFrame macro="">
      <xdr:nvGraphicFramePr>
        <xdr:cNvPr id="11" name="Chart 10">
          <a:extLst>
            <a:ext uri="{FF2B5EF4-FFF2-40B4-BE49-F238E27FC236}">
              <a16:creationId xmlns:a16="http://schemas.microsoft.com/office/drawing/2014/main" xmlns="" id="{58F89798-3B29-3955-73E5-1A9B0A00D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462883</xdr:colOff>
      <xdr:row>26</xdr:row>
      <xdr:rowOff>41775</xdr:rowOff>
    </xdr:from>
    <xdr:to>
      <xdr:col>25</xdr:col>
      <xdr:colOff>606593</xdr:colOff>
      <xdr:row>39</xdr:row>
      <xdr:rowOff>164263</xdr:rowOff>
    </xdr:to>
    <xdr:graphicFrame macro="">
      <xdr:nvGraphicFramePr>
        <xdr:cNvPr id="12" name="Chart 11">
          <a:extLst>
            <a:ext uri="{FF2B5EF4-FFF2-40B4-BE49-F238E27FC236}">
              <a16:creationId xmlns:a16="http://schemas.microsoft.com/office/drawing/2014/main" xmlns="" id="{A6D79514-CDDB-2FDE-72D8-5A5569443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lavet\AppData\Local\Microsoft\Windows\INetCache\IE\HSQBPCE8\PROJECT_EXCEL_(1)%5b1%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vinash Cheedi" refreshedDate="45863.900874768522" createdVersion="8" refreshedVersion="8" minRefreshableVersion="3" recordCount="250">
  <cacheSource type="worksheet">
    <worksheetSource ref="A1:L251" sheet="DATA" r:id="rId2"/>
  </cacheSource>
  <cacheFields count="14">
    <cacheField name="DATE" numFmtId="15">
      <sharedItems containsSemiMixedTypes="0" containsNonDate="0" containsDate="1" containsString="0" minDate="2025-01-01T00:00:00" maxDate="2026-01-01T00:00:00" count="163">
        <d v="2025-01-01T00:00:00"/>
        <d v="2025-01-15T00:00:00"/>
        <d v="2025-01-28T00:00:00"/>
        <d v="2025-02-03T00:00:00"/>
        <d v="2025-02-12T00:00:00"/>
        <d v="2025-02-25T00:00:00"/>
        <d v="2025-03-07T00:00:00"/>
        <d v="2025-03-19T00:00:00"/>
        <d v="2025-03-30T00:00:00"/>
        <d v="2025-04-05T00:00:00"/>
        <d v="2025-04-14T00:00:00"/>
        <d v="2025-04-27T00:00:00"/>
        <d v="2025-05-02T00:00:00"/>
        <d v="2025-05-16T00:00:00"/>
        <d v="2025-05-29T00:00:00"/>
        <d v="2025-06-04T00:00:00"/>
        <d v="2025-06-18T00:00:00"/>
        <d v="2025-06-30T00:00:00"/>
        <d v="2025-07-06T00:00:00"/>
        <d v="2025-07-17T00:00:00"/>
        <d v="2025-07-31T00:00:00"/>
        <d v="2025-08-08T00:00:00"/>
        <d v="2025-08-20T00:00:00"/>
        <d v="2025-08-29T00:00:00"/>
        <d v="2025-09-03T00:00:00"/>
        <d v="2025-09-15T00:00:00"/>
        <d v="2025-09-28T00:00:00"/>
        <d v="2025-10-04T00:00:00"/>
        <d v="2025-10-16T00:00:00"/>
        <d v="2025-10-30T00:00:00"/>
        <d v="2025-11-05T00:00:00"/>
        <d v="2025-11-17T00:00:00"/>
        <d v="2025-11-29T00:00:00"/>
        <d v="2025-12-02T00:00:00"/>
        <d v="2025-12-14T00:00:00"/>
        <d v="2025-12-28T00:00:00"/>
        <d v="2025-01-09T00:00:00"/>
        <d v="2025-01-22T00:00:00"/>
        <d v="2025-01-31T00:00:00"/>
        <d v="2025-02-06T00:00:00"/>
        <d v="2025-02-18T00:00:00"/>
        <d v="2025-02-27T00:00:00"/>
        <d v="2025-03-04T00:00:00"/>
        <d v="2025-03-16T00:00:00"/>
        <d v="2025-03-28T00:00:00"/>
        <d v="2025-04-03T00:00:00"/>
        <d v="2025-04-17T00:00:00"/>
        <d v="2025-04-30T00:00:00"/>
        <d v="2025-05-06T00:00:00"/>
        <d v="2025-05-19T00:00:00"/>
        <d v="2025-05-31T00:00:00"/>
        <d v="2025-06-07T00:00:00"/>
        <d v="2025-06-20T00:00:00"/>
        <d v="2025-06-29T00:00:00"/>
        <d v="2025-07-05T00:00:00"/>
        <d v="2025-07-18T00:00:00"/>
        <d v="2025-07-30T00:00:00"/>
        <d v="2025-08-07T00:00:00"/>
        <d v="2025-08-19T00:00:00"/>
        <d v="2025-08-31T00:00:00"/>
        <d v="2025-09-05T00:00:00"/>
        <d v="2025-09-17T00:00:00"/>
        <d v="2025-09-30T00:00:00"/>
        <d v="2025-10-06T00:00:00"/>
        <d v="2025-10-18T00:00:00"/>
        <d v="2025-10-31T00:00:00"/>
        <d v="2025-11-07T00:00:00"/>
        <d v="2025-11-19T00:00:00"/>
        <d v="2025-11-30T00:00:00"/>
        <d v="2025-12-04T00:00:00"/>
        <d v="2025-12-16T00:00:00"/>
        <d v="2025-12-31T00:00:00"/>
        <d v="2025-01-02T00:00:00"/>
        <d v="2025-01-14T00:00:00"/>
        <d v="2025-01-27T00:00:00"/>
        <d v="2025-02-05T00:00:00"/>
        <d v="2025-02-17T00:00:00"/>
        <d v="2025-02-28T00:00:00"/>
        <d v="2025-03-06T00:00:00"/>
        <d v="2025-03-18T00:00:00"/>
        <d v="2025-03-29T00:00:00"/>
        <d v="2025-04-04T00:00:00"/>
        <d v="2025-04-16T00:00:00"/>
        <d v="2025-04-29T00:00:00"/>
        <d v="2025-05-05T00:00:00"/>
        <d v="2025-05-18T00:00:00"/>
        <d v="2025-05-30T00:00:00"/>
        <d v="2025-06-06T00:00:00"/>
        <d v="2025-06-19T00:00:00"/>
        <d v="2025-06-28T00:00:00"/>
        <d v="2025-07-04T00:00:00"/>
        <d v="2025-07-16T00:00:00"/>
        <d v="2025-07-29T00:00:00"/>
        <d v="2025-08-06T00:00:00"/>
        <d v="2025-08-18T00:00:00"/>
        <d v="2025-08-30T00:00:00"/>
        <d v="2025-09-04T00:00:00"/>
        <d v="2025-09-16T00:00:00"/>
        <d v="2025-09-29T00:00:00"/>
        <d v="2025-10-05T00:00:00"/>
        <d v="2025-10-17T00:00:00"/>
        <d v="2025-10-29T00:00:00"/>
        <d v="2025-11-04T00:00:00"/>
        <d v="2025-11-16T00:00:00"/>
        <d v="2025-11-28T00:00:00"/>
        <d v="2025-12-03T00:00:00"/>
        <d v="2025-12-15T00:00:00"/>
        <d v="2025-12-30T00:00:00"/>
        <d v="2025-01-03T00:00:00"/>
        <d v="2025-01-16T00:00:00"/>
        <d v="2025-01-29T00:00:00"/>
        <d v="2025-02-04T00:00:00"/>
        <d v="2025-02-16T00:00:00"/>
        <d v="2025-02-26T00:00:00"/>
        <d v="2025-03-05T00:00:00"/>
        <d v="2025-03-17T00:00:00"/>
        <d v="2025-03-31T00:00:00"/>
        <d v="2025-04-06T00:00:00"/>
        <d v="2025-04-18T00:00:00"/>
        <d v="2025-04-28T00:00:00"/>
        <d v="2025-05-04T00:00:00"/>
        <d v="2025-05-17T00:00:00"/>
        <d v="2025-06-05T00:00:00"/>
        <d v="2025-06-17T00:00:00"/>
        <d v="2025-07-07T00:00:00"/>
        <d v="2025-07-19T00:00:00"/>
        <d v="2025-07-28T00:00:00"/>
        <d v="2025-08-05T00:00:00"/>
        <d v="2025-08-17T00:00:00"/>
        <d v="2025-09-27T00:00:00"/>
        <d v="2025-10-28T00:00:00"/>
        <d v="2025-11-03T00:00:00"/>
        <d v="2025-11-15T00:00:00"/>
        <d v="2025-11-27T00:00:00"/>
        <d v="2025-12-29T00:00:00"/>
        <d v="2025-01-13T00:00:00"/>
        <d v="2025-01-26T00:00:00"/>
        <d v="2025-02-15T00:00:00"/>
        <d v="2025-05-15T00:00:00"/>
        <d v="2025-05-28T00:00:00"/>
        <d v="2025-06-16T00:00:00"/>
        <d v="2025-09-06T00:00:00"/>
        <d v="2025-09-18T00:00:00"/>
        <d v="2025-05-03T00:00:00"/>
        <d v="2025-10-03T00:00:00"/>
        <d v="2025-10-15T00:00:00"/>
        <d v="2025-04-15T00:00:00"/>
        <d v="2025-07-03T00:00:00"/>
        <d v="2025-07-15T00:00:00"/>
        <d v="2025-07-27T00:00:00"/>
        <d v="2025-08-02T00:00:00"/>
        <d v="2025-08-14T00:00:00"/>
        <d v="2025-08-26T00:00:00"/>
        <d v="2025-09-01T00:00:00"/>
        <d v="2025-09-13T00:00:00"/>
        <d v="2025-09-25T00:00:00"/>
        <d v="2025-10-02T00:00:00"/>
        <d v="2025-10-14T00:00:00"/>
        <d v="2025-10-26T00:00:00"/>
        <d v="2025-11-01T00:00:00"/>
        <d v="2025-11-13T00:00:00"/>
        <d v="2025-11-25T00:00:00"/>
        <d v="2025-12-01T00:00:00"/>
      </sharedItems>
      <fieldGroup par="13"/>
    </cacheField>
    <cacheField name="NAME" numFmtId="0">
      <sharedItems/>
    </cacheField>
    <cacheField name="CATEGORY" numFmtId="0">
      <sharedItems count="5">
        <s v="COSMETICS"/>
        <s v="GROCERIES"/>
        <s v="FURNITURE"/>
        <s v="FASHION"/>
        <s v="ELECTRONICS"/>
      </sharedItems>
    </cacheField>
    <cacheField name="PRODUCT NAME" numFmtId="0">
      <sharedItems count="25">
        <s v="CREAM"/>
        <s v="WHEAT"/>
        <s v="RICE"/>
        <s v="SPICES"/>
        <s v="TABLE"/>
        <s v="SHOES"/>
        <s v="PERFUME"/>
        <s v="LAPTOP"/>
        <s v="SHIRT"/>
        <s v="JEANS"/>
        <s v="SUGAR"/>
        <s v="JACKET"/>
        <s v="LIPSTICK"/>
        <s v="CAMERA"/>
        <s v="TABLET"/>
        <s v="HEADPHONES"/>
        <s v="OIL"/>
        <s v="BED"/>
        <s v="MOBILE"/>
        <s v="SOFA"/>
        <s v="FOUNDATION"/>
        <s v="LOTION"/>
        <s v="CHAIR"/>
        <s v="DRESS"/>
        <s v="WARDROBE"/>
      </sharedItems>
    </cacheField>
    <cacheField name="STATE" numFmtId="0">
      <sharedItems count="5">
        <s v="MAHARASHTRA"/>
        <s v="TAMIL NADU"/>
        <s v="KARNATAKA"/>
        <s v="GUJARAT"/>
        <s v="DELHI"/>
      </sharedItems>
    </cacheField>
    <cacheField name="GENDER" numFmtId="0">
      <sharedItems/>
    </cacheField>
    <cacheField name="QUANTITY" numFmtId="0">
      <sharedItems containsSemiMixedTypes="0" containsString="0" containsNumber="1" containsInteger="1" minValue="1" maxValue="10"/>
    </cacheField>
    <cacheField name="COST" numFmtId="0">
      <sharedItems containsSemiMixedTypes="0" containsString="0" containsNumber="1" containsInteger="1" minValue="100" maxValue="500"/>
    </cacheField>
    <cacheField name="PRICE" numFmtId="0">
      <sharedItems containsSemiMixedTypes="0" containsString="0" containsNumber="1" containsInteger="1" minValue="172" maxValue="749"/>
    </cacheField>
    <cacheField name="PURCHASE COST" numFmtId="0">
      <sharedItems containsSemiMixedTypes="0" containsString="0" containsNumber="1" containsInteger="1" minValue="107" maxValue="4960"/>
    </cacheField>
    <cacheField name="SALES PRICE" numFmtId="0">
      <sharedItems containsSemiMixedTypes="0" containsString="0" containsNumber="1" containsInteger="1" minValue="229" maxValue="6890"/>
    </cacheField>
    <cacheField name="PROFIT" numFmtId="0">
      <sharedItems containsSemiMixedTypes="0" containsString="0" containsNumber="1" containsInteger="1" minValue="55" maxValue="2890"/>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2031814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s v="AMAN"/>
    <x v="0"/>
    <x v="0"/>
    <x v="0"/>
    <s v="FEMALE"/>
    <n v="4"/>
    <n v="327"/>
    <n v="557"/>
    <n v="1308"/>
    <n v="2228"/>
    <n v="920"/>
  </r>
  <r>
    <x v="1"/>
    <s v="PRIYA"/>
    <x v="1"/>
    <x v="1"/>
    <x v="1"/>
    <s v="MALE"/>
    <n v="8"/>
    <n v="175"/>
    <n v="469"/>
    <n v="1400"/>
    <n v="3752"/>
    <n v="2352"/>
  </r>
  <r>
    <x v="2"/>
    <s v="AMAN"/>
    <x v="1"/>
    <x v="1"/>
    <x v="2"/>
    <s v="MALE"/>
    <n v="4"/>
    <n v="433"/>
    <n v="723"/>
    <n v="1732"/>
    <n v="2892"/>
    <n v="1160"/>
  </r>
  <r>
    <x v="3"/>
    <s v="PRIYA"/>
    <x v="1"/>
    <x v="2"/>
    <x v="1"/>
    <s v="MALE"/>
    <n v="9"/>
    <n v="261"/>
    <n v="448"/>
    <n v="2349"/>
    <n v="4032"/>
    <n v="1683"/>
  </r>
  <r>
    <x v="4"/>
    <s v="AMAN"/>
    <x v="1"/>
    <x v="2"/>
    <x v="1"/>
    <s v="FEMALE"/>
    <n v="4"/>
    <n v="290"/>
    <n v="500"/>
    <n v="1160"/>
    <n v="2000"/>
    <n v="840"/>
  </r>
  <r>
    <x v="5"/>
    <s v="AVINASH"/>
    <x v="1"/>
    <x v="3"/>
    <x v="2"/>
    <s v="MALE"/>
    <n v="7"/>
    <n v="276"/>
    <n v="354"/>
    <n v="1932"/>
    <n v="2478"/>
    <n v="546"/>
  </r>
  <r>
    <x v="6"/>
    <s v="AMAN"/>
    <x v="1"/>
    <x v="3"/>
    <x v="3"/>
    <s v="FEMALE"/>
    <n v="4"/>
    <n v="256"/>
    <n v="374"/>
    <n v="1024"/>
    <n v="1496"/>
    <n v="472"/>
  </r>
  <r>
    <x v="7"/>
    <s v="RAHUL"/>
    <x v="2"/>
    <x v="4"/>
    <x v="2"/>
    <s v="FEMALE"/>
    <n v="6"/>
    <n v="238"/>
    <n v="480"/>
    <n v="1428"/>
    <n v="2880"/>
    <n v="1452"/>
  </r>
  <r>
    <x v="8"/>
    <s v="AVINASH"/>
    <x v="0"/>
    <x v="0"/>
    <x v="1"/>
    <s v="FEMALE"/>
    <n v="7"/>
    <n v="204"/>
    <n v="265"/>
    <n v="1428"/>
    <n v="1855"/>
    <n v="427"/>
  </r>
  <r>
    <x v="9"/>
    <s v="ROHAN"/>
    <x v="1"/>
    <x v="3"/>
    <x v="4"/>
    <s v="FEMALE"/>
    <n v="10"/>
    <n v="328"/>
    <n v="611"/>
    <n v="3280"/>
    <n v="6110"/>
    <n v="2830"/>
  </r>
  <r>
    <x v="10"/>
    <s v="SNEHA"/>
    <x v="3"/>
    <x v="5"/>
    <x v="4"/>
    <s v="FEMALE"/>
    <n v="5"/>
    <n v="428"/>
    <n v="548"/>
    <n v="2140"/>
    <n v="2740"/>
    <n v="600"/>
  </r>
  <r>
    <x v="11"/>
    <s v="SNEHA"/>
    <x v="1"/>
    <x v="2"/>
    <x v="0"/>
    <s v="MALE"/>
    <n v="7"/>
    <n v="326"/>
    <n v="465"/>
    <n v="2282"/>
    <n v="3255"/>
    <n v="973"/>
  </r>
  <r>
    <x v="12"/>
    <s v="RAHUL"/>
    <x v="0"/>
    <x v="6"/>
    <x v="3"/>
    <s v="FEMALE"/>
    <n v="3"/>
    <n v="161"/>
    <n v="279"/>
    <n v="483"/>
    <n v="837"/>
    <n v="354"/>
  </r>
  <r>
    <x v="13"/>
    <s v="SNEHA"/>
    <x v="4"/>
    <x v="7"/>
    <x v="0"/>
    <s v="MALE"/>
    <n v="10"/>
    <n v="180"/>
    <n v="256"/>
    <n v="1800"/>
    <n v="2560"/>
    <n v="760"/>
  </r>
  <r>
    <x v="14"/>
    <s v="PRIYA"/>
    <x v="4"/>
    <x v="7"/>
    <x v="3"/>
    <s v="MALE"/>
    <n v="4"/>
    <n v="164"/>
    <n v="325"/>
    <n v="656"/>
    <n v="1300"/>
    <n v="644"/>
  </r>
  <r>
    <x v="15"/>
    <s v="NEHA"/>
    <x v="3"/>
    <x v="8"/>
    <x v="3"/>
    <s v="MALE"/>
    <n v="3"/>
    <n v="216"/>
    <n v="370"/>
    <n v="648"/>
    <n v="1110"/>
    <n v="462"/>
  </r>
  <r>
    <x v="16"/>
    <s v="AVINASH"/>
    <x v="3"/>
    <x v="5"/>
    <x v="0"/>
    <s v="FEMALE"/>
    <n v="6"/>
    <n v="483"/>
    <n v="725"/>
    <n v="2898"/>
    <n v="4350"/>
    <n v="1452"/>
  </r>
  <r>
    <x v="17"/>
    <s v="RAHUL"/>
    <x v="3"/>
    <x v="9"/>
    <x v="0"/>
    <s v="FEMALE"/>
    <n v="1"/>
    <n v="378"/>
    <n v="459"/>
    <n v="378"/>
    <n v="459"/>
    <n v="81"/>
  </r>
  <r>
    <x v="18"/>
    <s v="NEHA"/>
    <x v="1"/>
    <x v="10"/>
    <x v="4"/>
    <s v="MALE"/>
    <n v="7"/>
    <n v="275"/>
    <n v="556"/>
    <n v="1925"/>
    <n v="3892"/>
    <n v="1967"/>
  </r>
  <r>
    <x v="19"/>
    <s v="SNEHA"/>
    <x v="0"/>
    <x v="6"/>
    <x v="1"/>
    <s v="FEMALE"/>
    <n v="6"/>
    <n v="108"/>
    <n v="285"/>
    <n v="648"/>
    <n v="1710"/>
    <n v="1062"/>
  </r>
  <r>
    <x v="20"/>
    <s v="ROHAN"/>
    <x v="1"/>
    <x v="2"/>
    <x v="0"/>
    <s v="FEMALE"/>
    <n v="6"/>
    <n v="144"/>
    <n v="226"/>
    <n v="864"/>
    <n v="1356"/>
    <n v="492"/>
  </r>
  <r>
    <x v="21"/>
    <s v="SNEHA"/>
    <x v="3"/>
    <x v="11"/>
    <x v="0"/>
    <s v="MALE"/>
    <n v="5"/>
    <n v="197"/>
    <n v="428"/>
    <n v="985"/>
    <n v="2140"/>
    <n v="1155"/>
  </r>
  <r>
    <x v="22"/>
    <s v="NEHA"/>
    <x v="0"/>
    <x v="12"/>
    <x v="0"/>
    <s v="MALE"/>
    <n v="10"/>
    <n v="164"/>
    <n v="443"/>
    <n v="1640"/>
    <n v="4430"/>
    <n v="2790"/>
  </r>
  <r>
    <x v="23"/>
    <s v="PRIYA"/>
    <x v="4"/>
    <x v="13"/>
    <x v="0"/>
    <s v="MALE"/>
    <n v="9"/>
    <n v="207"/>
    <n v="423"/>
    <n v="1863"/>
    <n v="3807"/>
    <n v="1944"/>
  </r>
  <r>
    <x v="24"/>
    <s v="SNEHA"/>
    <x v="4"/>
    <x v="14"/>
    <x v="4"/>
    <s v="MALE"/>
    <n v="5"/>
    <n v="232"/>
    <n v="489"/>
    <n v="1160"/>
    <n v="2445"/>
    <n v="1285"/>
  </r>
  <r>
    <x v="25"/>
    <s v="DIVYA"/>
    <x v="0"/>
    <x v="0"/>
    <x v="2"/>
    <s v="FEMALE"/>
    <n v="2"/>
    <n v="289"/>
    <n v="521"/>
    <n v="578"/>
    <n v="1042"/>
    <n v="464"/>
  </r>
  <r>
    <x v="26"/>
    <s v="RAHUL"/>
    <x v="4"/>
    <x v="15"/>
    <x v="0"/>
    <s v="MALE"/>
    <n v="1"/>
    <n v="108"/>
    <n v="294"/>
    <n v="108"/>
    <n v="294"/>
    <n v="186"/>
  </r>
  <r>
    <x v="27"/>
    <s v="AVINASH"/>
    <x v="1"/>
    <x v="16"/>
    <x v="1"/>
    <s v="FEMALE"/>
    <n v="6"/>
    <n v="383"/>
    <n v="643"/>
    <n v="2298"/>
    <n v="3858"/>
    <n v="1560"/>
  </r>
  <r>
    <x v="28"/>
    <s v="AVINASH"/>
    <x v="2"/>
    <x v="17"/>
    <x v="1"/>
    <s v="MALE"/>
    <n v="7"/>
    <n v="441"/>
    <n v="540"/>
    <n v="3087"/>
    <n v="3780"/>
    <n v="693"/>
  </r>
  <r>
    <x v="29"/>
    <s v="NEHA"/>
    <x v="2"/>
    <x v="4"/>
    <x v="4"/>
    <s v="FEMALE"/>
    <n v="3"/>
    <n v="121"/>
    <n v="385"/>
    <n v="363"/>
    <n v="1155"/>
    <n v="792"/>
  </r>
  <r>
    <x v="30"/>
    <s v="AMAN"/>
    <x v="2"/>
    <x v="17"/>
    <x v="2"/>
    <s v="FEMALE"/>
    <n v="5"/>
    <n v="297"/>
    <n v="517"/>
    <n v="1485"/>
    <n v="2585"/>
    <n v="1100"/>
  </r>
  <r>
    <x v="31"/>
    <s v="AMAN"/>
    <x v="3"/>
    <x v="9"/>
    <x v="4"/>
    <s v="MALE"/>
    <n v="8"/>
    <n v="399"/>
    <n v="564"/>
    <n v="3192"/>
    <n v="4512"/>
    <n v="1320"/>
  </r>
  <r>
    <x v="32"/>
    <s v="ROHAN"/>
    <x v="4"/>
    <x v="15"/>
    <x v="1"/>
    <s v="MALE"/>
    <n v="8"/>
    <n v="162"/>
    <n v="270"/>
    <n v="1296"/>
    <n v="2160"/>
    <n v="864"/>
  </r>
  <r>
    <x v="33"/>
    <s v="PRIYA"/>
    <x v="3"/>
    <x v="5"/>
    <x v="4"/>
    <s v="FEMALE"/>
    <n v="4"/>
    <n v="301"/>
    <n v="446"/>
    <n v="1204"/>
    <n v="1784"/>
    <n v="580"/>
  </r>
  <r>
    <x v="34"/>
    <s v="ROHAN"/>
    <x v="1"/>
    <x v="2"/>
    <x v="0"/>
    <s v="FEMALE"/>
    <n v="9"/>
    <n v="272"/>
    <n v="530"/>
    <n v="2448"/>
    <n v="4770"/>
    <n v="2322"/>
  </r>
  <r>
    <x v="35"/>
    <s v="AVINASH"/>
    <x v="4"/>
    <x v="18"/>
    <x v="0"/>
    <s v="FEMALE"/>
    <n v="2"/>
    <n v="466"/>
    <n v="536"/>
    <n v="932"/>
    <n v="1072"/>
    <n v="140"/>
  </r>
  <r>
    <x v="36"/>
    <s v="RAHUL"/>
    <x v="4"/>
    <x v="13"/>
    <x v="2"/>
    <s v="FEMALE"/>
    <n v="1"/>
    <n v="309"/>
    <n v="410"/>
    <n v="309"/>
    <n v="410"/>
    <n v="101"/>
  </r>
  <r>
    <x v="37"/>
    <s v="SNEHA"/>
    <x v="2"/>
    <x v="19"/>
    <x v="0"/>
    <s v="FEMALE"/>
    <n v="2"/>
    <n v="272"/>
    <n v="566"/>
    <n v="544"/>
    <n v="1132"/>
    <n v="588"/>
  </r>
  <r>
    <x v="38"/>
    <s v="NEHA"/>
    <x v="0"/>
    <x v="20"/>
    <x v="0"/>
    <s v="FEMALE"/>
    <n v="3"/>
    <n v="336"/>
    <n v="540"/>
    <n v="1008"/>
    <n v="1620"/>
    <n v="612"/>
  </r>
  <r>
    <x v="39"/>
    <s v="DIVYA"/>
    <x v="4"/>
    <x v="15"/>
    <x v="1"/>
    <s v="FEMALE"/>
    <n v="6"/>
    <n v="225"/>
    <n v="377"/>
    <n v="1350"/>
    <n v="2262"/>
    <n v="912"/>
  </r>
  <r>
    <x v="40"/>
    <s v="NEHA"/>
    <x v="0"/>
    <x v="20"/>
    <x v="2"/>
    <s v="FEMALE"/>
    <n v="7"/>
    <n v="428"/>
    <n v="651"/>
    <n v="2996"/>
    <n v="4557"/>
    <n v="1561"/>
  </r>
  <r>
    <x v="41"/>
    <s v="PRIYA"/>
    <x v="4"/>
    <x v="15"/>
    <x v="4"/>
    <s v="FEMALE"/>
    <n v="6"/>
    <n v="355"/>
    <n v="414"/>
    <n v="2130"/>
    <n v="2484"/>
    <n v="354"/>
  </r>
  <r>
    <x v="42"/>
    <s v="AMAN"/>
    <x v="4"/>
    <x v="18"/>
    <x v="1"/>
    <s v="MALE"/>
    <n v="6"/>
    <n v="289"/>
    <n v="363"/>
    <n v="1734"/>
    <n v="2178"/>
    <n v="444"/>
  </r>
  <r>
    <x v="43"/>
    <s v="NEHA"/>
    <x v="1"/>
    <x v="1"/>
    <x v="4"/>
    <s v="MALE"/>
    <n v="5"/>
    <n v="273"/>
    <n v="382"/>
    <n v="1365"/>
    <n v="1910"/>
    <n v="545"/>
  </r>
  <r>
    <x v="44"/>
    <s v="DIVYA"/>
    <x v="1"/>
    <x v="2"/>
    <x v="1"/>
    <s v="MALE"/>
    <n v="8"/>
    <n v="302"/>
    <n v="402"/>
    <n v="2416"/>
    <n v="3216"/>
    <n v="800"/>
  </r>
  <r>
    <x v="45"/>
    <s v="RAHUL"/>
    <x v="1"/>
    <x v="2"/>
    <x v="1"/>
    <s v="MALE"/>
    <n v="6"/>
    <n v="157"/>
    <n v="216"/>
    <n v="942"/>
    <n v="1296"/>
    <n v="354"/>
  </r>
  <r>
    <x v="46"/>
    <s v="RAHUL"/>
    <x v="3"/>
    <x v="5"/>
    <x v="0"/>
    <s v="MALE"/>
    <n v="2"/>
    <n v="236"/>
    <n v="508"/>
    <n v="472"/>
    <n v="1016"/>
    <n v="544"/>
  </r>
  <r>
    <x v="47"/>
    <s v="NEHA"/>
    <x v="1"/>
    <x v="2"/>
    <x v="0"/>
    <s v="FEMALE"/>
    <n v="3"/>
    <n v="399"/>
    <n v="693"/>
    <n v="1197"/>
    <n v="2079"/>
    <n v="882"/>
  </r>
  <r>
    <x v="48"/>
    <s v="AMAN"/>
    <x v="0"/>
    <x v="21"/>
    <x v="3"/>
    <s v="FEMALE"/>
    <n v="6"/>
    <n v="347"/>
    <n v="583"/>
    <n v="2082"/>
    <n v="3498"/>
    <n v="1416"/>
  </r>
  <r>
    <x v="49"/>
    <s v="AMAN"/>
    <x v="3"/>
    <x v="8"/>
    <x v="1"/>
    <s v="MALE"/>
    <n v="10"/>
    <n v="181"/>
    <n v="333"/>
    <n v="1810"/>
    <n v="3330"/>
    <n v="1520"/>
  </r>
  <r>
    <x v="50"/>
    <s v="RAHUL"/>
    <x v="0"/>
    <x v="0"/>
    <x v="4"/>
    <s v="MALE"/>
    <n v="4"/>
    <n v="416"/>
    <n v="649"/>
    <n v="1664"/>
    <n v="2596"/>
    <n v="932"/>
  </r>
  <r>
    <x v="51"/>
    <s v="ROHAN"/>
    <x v="1"/>
    <x v="16"/>
    <x v="2"/>
    <s v="FEMALE"/>
    <n v="6"/>
    <n v="329"/>
    <n v="585"/>
    <n v="1974"/>
    <n v="3510"/>
    <n v="1536"/>
  </r>
  <r>
    <x v="52"/>
    <s v="AMAN"/>
    <x v="1"/>
    <x v="16"/>
    <x v="0"/>
    <s v="FEMALE"/>
    <n v="5"/>
    <n v="179"/>
    <n v="289"/>
    <n v="895"/>
    <n v="1445"/>
    <n v="550"/>
  </r>
  <r>
    <x v="53"/>
    <s v="AMAN"/>
    <x v="2"/>
    <x v="22"/>
    <x v="2"/>
    <s v="FEMALE"/>
    <n v="8"/>
    <n v="176"/>
    <n v="318"/>
    <n v="1408"/>
    <n v="2544"/>
    <n v="1136"/>
  </r>
  <r>
    <x v="54"/>
    <s v="DIVYA"/>
    <x v="2"/>
    <x v="17"/>
    <x v="1"/>
    <s v="MALE"/>
    <n v="3"/>
    <n v="100"/>
    <n v="340"/>
    <n v="300"/>
    <n v="1020"/>
    <n v="720"/>
  </r>
  <r>
    <x v="55"/>
    <s v="ROHAN"/>
    <x v="0"/>
    <x v="0"/>
    <x v="0"/>
    <s v="MALE"/>
    <n v="2"/>
    <n v="329"/>
    <n v="486"/>
    <n v="658"/>
    <n v="972"/>
    <n v="314"/>
  </r>
  <r>
    <x v="56"/>
    <s v="NEHA"/>
    <x v="3"/>
    <x v="9"/>
    <x v="4"/>
    <s v="FEMALE"/>
    <n v="9"/>
    <n v="407"/>
    <n v="703"/>
    <n v="3663"/>
    <n v="6327"/>
    <n v="2664"/>
  </r>
  <r>
    <x v="57"/>
    <s v="NEHA"/>
    <x v="2"/>
    <x v="22"/>
    <x v="4"/>
    <s v="MALE"/>
    <n v="1"/>
    <n v="250"/>
    <n v="493"/>
    <n v="250"/>
    <n v="493"/>
    <n v="243"/>
  </r>
  <r>
    <x v="58"/>
    <s v="NEHA"/>
    <x v="2"/>
    <x v="22"/>
    <x v="3"/>
    <s v="MALE"/>
    <n v="10"/>
    <n v="216"/>
    <n v="406"/>
    <n v="2160"/>
    <n v="4060"/>
    <n v="1900"/>
  </r>
  <r>
    <x v="59"/>
    <s v="AMAN"/>
    <x v="4"/>
    <x v="15"/>
    <x v="0"/>
    <s v="FEMALE"/>
    <n v="2"/>
    <n v="425"/>
    <n v="546"/>
    <n v="850"/>
    <n v="1092"/>
    <n v="242"/>
  </r>
  <r>
    <x v="60"/>
    <s v="SNEHA"/>
    <x v="1"/>
    <x v="3"/>
    <x v="2"/>
    <s v="MALE"/>
    <n v="4"/>
    <n v="179"/>
    <n v="452"/>
    <n v="716"/>
    <n v="1808"/>
    <n v="1092"/>
  </r>
  <r>
    <x v="61"/>
    <s v="NEHA"/>
    <x v="0"/>
    <x v="21"/>
    <x v="2"/>
    <s v="MALE"/>
    <n v="3"/>
    <n v="211"/>
    <n v="473"/>
    <n v="633"/>
    <n v="1419"/>
    <n v="786"/>
  </r>
  <r>
    <x v="62"/>
    <s v="AMAN"/>
    <x v="3"/>
    <x v="8"/>
    <x v="4"/>
    <s v="FEMALE"/>
    <n v="9"/>
    <n v="265"/>
    <n v="448"/>
    <n v="2385"/>
    <n v="4032"/>
    <n v="1647"/>
  </r>
  <r>
    <x v="63"/>
    <s v="AMAN"/>
    <x v="0"/>
    <x v="21"/>
    <x v="3"/>
    <s v="MALE"/>
    <n v="1"/>
    <n v="481"/>
    <n v="691"/>
    <n v="481"/>
    <n v="691"/>
    <n v="210"/>
  </r>
  <r>
    <x v="64"/>
    <s v="DIVYA"/>
    <x v="1"/>
    <x v="3"/>
    <x v="4"/>
    <s v="FEMALE"/>
    <n v="3"/>
    <n v="234"/>
    <n v="424"/>
    <n v="702"/>
    <n v="1272"/>
    <n v="570"/>
  </r>
  <r>
    <x v="65"/>
    <s v="PRIYA"/>
    <x v="4"/>
    <x v="14"/>
    <x v="0"/>
    <s v="MALE"/>
    <n v="9"/>
    <n v="279"/>
    <n v="456"/>
    <n v="2511"/>
    <n v="4104"/>
    <n v="1593"/>
  </r>
  <r>
    <x v="66"/>
    <s v="NEHA"/>
    <x v="3"/>
    <x v="23"/>
    <x v="0"/>
    <s v="MALE"/>
    <n v="2"/>
    <n v="201"/>
    <n v="267"/>
    <n v="402"/>
    <n v="534"/>
    <n v="132"/>
  </r>
  <r>
    <x v="67"/>
    <s v="ROHAN"/>
    <x v="3"/>
    <x v="5"/>
    <x v="4"/>
    <s v="FEMALE"/>
    <n v="6"/>
    <n v="270"/>
    <n v="342"/>
    <n v="1620"/>
    <n v="2052"/>
    <n v="432"/>
  </r>
  <r>
    <x v="68"/>
    <s v="AVINASH"/>
    <x v="4"/>
    <x v="13"/>
    <x v="1"/>
    <s v="MALE"/>
    <n v="8"/>
    <n v="329"/>
    <n v="487"/>
    <n v="2632"/>
    <n v="3896"/>
    <n v="1264"/>
  </r>
  <r>
    <x v="69"/>
    <s v="SNEHA"/>
    <x v="4"/>
    <x v="13"/>
    <x v="4"/>
    <s v="FEMALE"/>
    <n v="9"/>
    <n v="250"/>
    <n v="485"/>
    <n v="2250"/>
    <n v="4365"/>
    <n v="2115"/>
  </r>
  <r>
    <x v="70"/>
    <s v="PRIYA"/>
    <x v="2"/>
    <x v="22"/>
    <x v="4"/>
    <s v="FEMALE"/>
    <n v="3"/>
    <n v="121"/>
    <n v="408"/>
    <n v="363"/>
    <n v="1224"/>
    <n v="861"/>
  </r>
  <r>
    <x v="71"/>
    <s v="PRIYA"/>
    <x v="0"/>
    <x v="20"/>
    <x v="4"/>
    <s v="MALE"/>
    <n v="9"/>
    <n v="211"/>
    <n v="474"/>
    <n v="1899"/>
    <n v="4266"/>
    <n v="2367"/>
  </r>
  <r>
    <x v="72"/>
    <s v="NEHA"/>
    <x v="4"/>
    <x v="7"/>
    <x v="2"/>
    <s v="FEMALE"/>
    <n v="6"/>
    <n v="377"/>
    <n v="453"/>
    <n v="2262"/>
    <n v="2718"/>
    <n v="456"/>
  </r>
  <r>
    <x v="73"/>
    <s v="NEHA"/>
    <x v="4"/>
    <x v="7"/>
    <x v="2"/>
    <s v="MALE"/>
    <n v="8"/>
    <n v="448"/>
    <n v="550"/>
    <n v="3584"/>
    <n v="4400"/>
    <n v="816"/>
  </r>
  <r>
    <x v="74"/>
    <s v="AVINASH"/>
    <x v="4"/>
    <x v="15"/>
    <x v="1"/>
    <s v="FEMALE"/>
    <n v="7"/>
    <n v="233"/>
    <n v="379"/>
    <n v="1631"/>
    <n v="2653"/>
    <n v="1022"/>
  </r>
  <r>
    <x v="75"/>
    <s v="PRIYA"/>
    <x v="1"/>
    <x v="16"/>
    <x v="3"/>
    <s v="FEMALE"/>
    <n v="10"/>
    <n v="218"/>
    <n v="446"/>
    <n v="2180"/>
    <n v="4460"/>
    <n v="2280"/>
  </r>
  <r>
    <x v="76"/>
    <s v="NEHA"/>
    <x v="1"/>
    <x v="1"/>
    <x v="3"/>
    <s v="MALE"/>
    <n v="10"/>
    <n v="397"/>
    <n v="685"/>
    <n v="3970"/>
    <n v="6850"/>
    <n v="2880"/>
  </r>
  <r>
    <x v="77"/>
    <s v="SNEHA"/>
    <x v="3"/>
    <x v="8"/>
    <x v="2"/>
    <s v="MALE"/>
    <n v="8"/>
    <n v="244"/>
    <n v="485"/>
    <n v="1952"/>
    <n v="3880"/>
    <n v="1928"/>
  </r>
  <r>
    <x v="78"/>
    <s v="NEHA"/>
    <x v="3"/>
    <x v="23"/>
    <x v="1"/>
    <s v="FEMALE"/>
    <n v="8"/>
    <n v="494"/>
    <n v="553"/>
    <n v="3952"/>
    <n v="4424"/>
    <n v="472"/>
  </r>
  <r>
    <x v="79"/>
    <s v="NEHA"/>
    <x v="2"/>
    <x v="4"/>
    <x v="3"/>
    <s v="MALE"/>
    <n v="7"/>
    <n v="373"/>
    <n v="666"/>
    <n v="2611"/>
    <n v="4662"/>
    <n v="2051"/>
  </r>
  <r>
    <x v="80"/>
    <s v="DIVYA"/>
    <x v="1"/>
    <x v="1"/>
    <x v="4"/>
    <s v="MALE"/>
    <n v="6"/>
    <n v="212"/>
    <n v="393"/>
    <n v="1272"/>
    <n v="2358"/>
    <n v="1086"/>
  </r>
  <r>
    <x v="81"/>
    <s v="RAHUL"/>
    <x v="2"/>
    <x v="22"/>
    <x v="0"/>
    <s v="FEMALE"/>
    <n v="9"/>
    <n v="256"/>
    <n v="433"/>
    <n v="2304"/>
    <n v="3897"/>
    <n v="1593"/>
  </r>
  <r>
    <x v="82"/>
    <s v="AMAN"/>
    <x v="0"/>
    <x v="20"/>
    <x v="0"/>
    <s v="FEMALE"/>
    <n v="7"/>
    <n v="214"/>
    <n v="403"/>
    <n v="1498"/>
    <n v="2821"/>
    <n v="1323"/>
  </r>
  <r>
    <x v="83"/>
    <s v="AVINASH"/>
    <x v="3"/>
    <x v="11"/>
    <x v="4"/>
    <s v="MALE"/>
    <n v="2"/>
    <n v="179"/>
    <n v="367"/>
    <n v="358"/>
    <n v="734"/>
    <n v="376"/>
  </r>
  <r>
    <x v="84"/>
    <s v="SNEHA"/>
    <x v="0"/>
    <x v="20"/>
    <x v="3"/>
    <s v="FEMALE"/>
    <n v="3"/>
    <n v="482"/>
    <n v="705"/>
    <n v="1446"/>
    <n v="2115"/>
    <n v="669"/>
  </r>
  <r>
    <x v="85"/>
    <s v="AMAN"/>
    <x v="0"/>
    <x v="0"/>
    <x v="0"/>
    <s v="MALE"/>
    <n v="1"/>
    <n v="192"/>
    <n v="249"/>
    <n v="192"/>
    <n v="249"/>
    <n v="57"/>
  </r>
  <r>
    <x v="86"/>
    <s v="RAHUL"/>
    <x v="1"/>
    <x v="10"/>
    <x v="0"/>
    <s v="FEMALE"/>
    <n v="1"/>
    <n v="445"/>
    <n v="616"/>
    <n v="445"/>
    <n v="616"/>
    <n v="171"/>
  </r>
  <r>
    <x v="87"/>
    <s v="NEHA"/>
    <x v="0"/>
    <x v="12"/>
    <x v="1"/>
    <s v="FEMALE"/>
    <n v="2"/>
    <n v="127"/>
    <n v="393"/>
    <n v="254"/>
    <n v="786"/>
    <n v="532"/>
  </r>
  <r>
    <x v="88"/>
    <s v="AVINASH"/>
    <x v="2"/>
    <x v="22"/>
    <x v="0"/>
    <s v="MALE"/>
    <n v="3"/>
    <n v="230"/>
    <n v="421"/>
    <n v="690"/>
    <n v="1263"/>
    <n v="573"/>
  </r>
  <r>
    <x v="89"/>
    <s v="NEHA"/>
    <x v="4"/>
    <x v="15"/>
    <x v="0"/>
    <s v="FEMALE"/>
    <n v="8"/>
    <n v="182"/>
    <n v="415"/>
    <n v="1456"/>
    <n v="3320"/>
    <n v="1864"/>
  </r>
  <r>
    <x v="90"/>
    <s v="SNEHA"/>
    <x v="4"/>
    <x v="13"/>
    <x v="3"/>
    <s v="MALE"/>
    <n v="5"/>
    <n v="161"/>
    <n v="262"/>
    <n v="805"/>
    <n v="1310"/>
    <n v="505"/>
  </r>
  <r>
    <x v="91"/>
    <s v="PRIYA"/>
    <x v="3"/>
    <x v="5"/>
    <x v="2"/>
    <s v="MALE"/>
    <n v="6"/>
    <n v="465"/>
    <n v="641"/>
    <n v="2790"/>
    <n v="3846"/>
    <n v="1056"/>
  </r>
  <r>
    <x v="92"/>
    <s v="AVINASH"/>
    <x v="2"/>
    <x v="17"/>
    <x v="2"/>
    <s v="FEMALE"/>
    <n v="7"/>
    <n v="169"/>
    <n v="331"/>
    <n v="1183"/>
    <n v="2317"/>
    <n v="1134"/>
  </r>
  <r>
    <x v="93"/>
    <s v="AMAN"/>
    <x v="1"/>
    <x v="10"/>
    <x v="0"/>
    <s v="MALE"/>
    <n v="5"/>
    <n v="371"/>
    <n v="477"/>
    <n v="1855"/>
    <n v="2385"/>
    <n v="530"/>
  </r>
  <r>
    <x v="94"/>
    <s v="AMAN"/>
    <x v="1"/>
    <x v="10"/>
    <x v="4"/>
    <s v="MALE"/>
    <n v="10"/>
    <n v="451"/>
    <n v="615"/>
    <n v="4510"/>
    <n v="6150"/>
    <n v="1640"/>
  </r>
  <r>
    <x v="95"/>
    <s v="RAHUL"/>
    <x v="3"/>
    <x v="9"/>
    <x v="1"/>
    <s v="MALE"/>
    <n v="2"/>
    <n v="376"/>
    <n v="655"/>
    <n v="752"/>
    <n v="1310"/>
    <n v="558"/>
  </r>
  <r>
    <x v="96"/>
    <s v="NEHA"/>
    <x v="0"/>
    <x v="0"/>
    <x v="2"/>
    <s v="MALE"/>
    <n v="7"/>
    <n v="350"/>
    <n v="607"/>
    <n v="2450"/>
    <n v="4249"/>
    <n v="1799"/>
  </r>
  <r>
    <x v="97"/>
    <s v="SNEHA"/>
    <x v="0"/>
    <x v="0"/>
    <x v="2"/>
    <s v="MALE"/>
    <n v="9"/>
    <n v="371"/>
    <n v="439"/>
    <n v="3339"/>
    <n v="3951"/>
    <n v="612"/>
  </r>
  <r>
    <x v="98"/>
    <s v="AMAN"/>
    <x v="4"/>
    <x v="18"/>
    <x v="2"/>
    <s v="FEMALE"/>
    <n v="9"/>
    <n v="409"/>
    <n v="580"/>
    <n v="3681"/>
    <n v="5220"/>
    <n v="1539"/>
  </r>
  <r>
    <x v="99"/>
    <s v="AMAN"/>
    <x v="2"/>
    <x v="22"/>
    <x v="1"/>
    <s v="FEMALE"/>
    <n v="1"/>
    <n v="173"/>
    <n v="297"/>
    <n v="173"/>
    <n v="297"/>
    <n v="124"/>
  </r>
  <r>
    <x v="100"/>
    <s v="RAHUL"/>
    <x v="2"/>
    <x v="24"/>
    <x v="3"/>
    <s v="MALE"/>
    <n v="10"/>
    <n v="328"/>
    <n v="535"/>
    <n v="3280"/>
    <n v="5350"/>
    <n v="2070"/>
  </r>
  <r>
    <x v="101"/>
    <s v="AVINASH"/>
    <x v="0"/>
    <x v="0"/>
    <x v="3"/>
    <s v="FEMALE"/>
    <n v="4"/>
    <n v="355"/>
    <n v="443"/>
    <n v="1420"/>
    <n v="1772"/>
    <n v="352"/>
  </r>
  <r>
    <x v="102"/>
    <s v="NEHA"/>
    <x v="1"/>
    <x v="16"/>
    <x v="3"/>
    <s v="MALE"/>
    <n v="1"/>
    <n v="385"/>
    <n v="652"/>
    <n v="385"/>
    <n v="652"/>
    <n v="267"/>
  </r>
  <r>
    <x v="103"/>
    <s v="AMAN"/>
    <x v="1"/>
    <x v="2"/>
    <x v="4"/>
    <s v="FEMALE"/>
    <n v="5"/>
    <n v="357"/>
    <n v="557"/>
    <n v="1785"/>
    <n v="2785"/>
    <n v="1000"/>
  </r>
  <r>
    <x v="104"/>
    <s v="DIVYA"/>
    <x v="4"/>
    <x v="18"/>
    <x v="2"/>
    <s v="MALE"/>
    <n v="3"/>
    <n v="240"/>
    <n v="468"/>
    <n v="720"/>
    <n v="1404"/>
    <n v="684"/>
  </r>
  <r>
    <x v="105"/>
    <s v="AVINASH"/>
    <x v="4"/>
    <x v="7"/>
    <x v="3"/>
    <s v="FEMALE"/>
    <n v="2"/>
    <n v="182"/>
    <n v="326"/>
    <n v="364"/>
    <n v="652"/>
    <n v="288"/>
  </r>
  <r>
    <x v="106"/>
    <s v="ROHAN"/>
    <x v="2"/>
    <x v="19"/>
    <x v="3"/>
    <s v="MALE"/>
    <n v="6"/>
    <n v="243"/>
    <n v="455"/>
    <n v="1458"/>
    <n v="2730"/>
    <n v="1272"/>
  </r>
  <r>
    <x v="107"/>
    <s v="SNEHA"/>
    <x v="3"/>
    <x v="9"/>
    <x v="3"/>
    <s v="MALE"/>
    <n v="2"/>
    <n v="186"/>
    <n v="390"/>
    <n v="372"/>
    <n v="780"/>
    <n v="408"/>
  </r>
  <r>
    <x v="108"/>
    <s v="ROHAN"/>
    <x v="4"/>
    <x v="14"/>
    <x v="0"/>
    <s v="MALE"/>
    <n v="9"/>
    <n v="248"/>
    <n v="377"/>
    <n v="2232"/>
    <n v="3393"/>
    <n v="1161"/>
  </r>
  <r>
    <x v="109"/>
    <s v="SNEHA"/>
    <x v="4"/>
    <x v="14"/>
    <x v="3"/>
    <s v="FEMALE"/>
    <n v="10"/>
    <n v="161"/>
    <n v="418"/>
    <n v="1610"/>
    <n v="4180"/>
    <n v="2570"/>
  </r>
  <r>
    <x v="110"/>
    <s v="ROHAN"/>
    <x v="0"/>
    <x v="0"/>
    <x v="1"/>
    <s v="MALE"/>
    <n v="6"/>
    <n v="278"/>
    <n v="370"/>
    <n v="1668"/>
    <n v="2220"/>
    <n v="552"/>
  </r>
  <r>
    <x v="111"/>
    <s v="ROHAN"/>
    <x v="0"/>
    <x v="6"/>
    <x v="3"/>
    <s v="FEMALE"/>
    <n v="3"/>
    <n v="276"/>
    <n v="495"/>
    <n v="828"/>
    <n v="1485"/>
    <n v="657"/>
  </r>
  <r>
    <x v="112"/>
    <s v="PRIYA"/>
    <x v="2"/>
    <x v="19"/>
    <x v="1"/>
    <s v="FEMALE"/>
    <n v="9"/>
    <n v="346"/>
    <n v="457"/>
    <n v="3114"/>
    <n v="4113"/>
    <n v="999"/>
  </r>
  <r>
    <x v="113"/>
    <s v="SNEHA"/>
    <x v="3"/>
    <x v="9"/>
    <x v="2"/>
    <s v="MALE"/>
    <n v="1"/>
    <n v="107"/>
    <n v="237"/>
    <n v="107"/>
    <n v="237"/>
    <n v="130"/>
  </r>
  <r>
    <x v="114"/>
    <s v="AMAN"/>
    <x v="1"/>
    <x v="10"/>
    <x v="1"/>
    <s v="FEMALE"/>
    <n v="5"/>
    <n v="490"/>
    <n v="713"/>
    <n v="2450"/>
    <n v="3565"/>
    <n v="1115"/>
  </r>
  <r>
    <x v="115"/>
    <s v="NEHA"/>
    <x v="1"/>
    <x v="3"/>
    <x v="1"/>
    <s v="FEMALE"/>
    <n v="4"/>
    <n v="392"/>
    <n v="630"/>
    <n v="1568"/>
    <n v="2520"/>
    <n v="952"/>
  </r>
  <r>
    <x v="116"/>
    <s v="RAHUL"/>
    <x v="2"/>
    <x v="19"/>
    <x v="1"/>
    <s v="FEMALE"/>
    <n v="1"/>
    <n v="348"/>
    <n v="549"/>
    <n v="348"/>
    <n v="549"/>
    <n v="201"/>
  </r>
  <r>
    <x v="117"/>
    <s v="RAHUL"/>
    <x v="2"/>
    <x v="24"/>
    <x v="0"/>
    <s v="FEMALE"/>
    <n v="3"/>
    <n v="144"/>
    <n v="439"/>
    <n v="432"/>
    <n v="1317"/>
    <n v="885"/>
  </r>
  <r>
    <x v="118"/>
    <s v="NEHA"/>
    <x v="3"/>
    <x v="11"/>
    <x v="0"/>
    <s v="FEMALE"/>
    <n v="3"/>
    <n v="472"/>
    <n v="716"/>
    <n v="1416"/>
    <n v="2148"/>
    <n v="732"/>
  </r>
  <r>
    <x v="119"/>
    <s v="AVINASH"/>
    <x v="3"/>
    <x v="9"/>
    <x v="4"/>
    <s v="FEMALE"/>
    <n v="3"/>
    <n v="259"/>
    <n v="435"/>
    <n v="777"/>
    <n v="1305"/>
    <n v="528"/>
  </r>
  <r>
    <x v="120"/>
    <s v="PRIYA"/>
    <x v="2"/>
    <x v="17"/>
    <x v="1"/>
    <s v="FEMALE"/>
    <n v="2"/>
    <n v="450"/>
    <n v="690"/>
    <n v="900"/>
    <n v="1380"/>
    <n v="480"/>
  </r>
  <r>
    <x v="121"/>
    <s v="NEHA"/>
    <x v="0"/>
    <x v="0"/>
    <x v="0"/>
    <s v="MALE"/>
    <n v="5"/>
    <n v="147"/>
    <n v="282"/>
    <n v="735"/>
    <n v="1410"/>
    <n v="675"/>
  </r>
  <r>
    <x v="14"/>
    <s v="ROHAN"/>
    <x v="0"/>
    <x v="21"/>
    <x v="4"/>
    <s v="FEMALE"/>
    <n v="3"/>
    <n v="154"/>
    <n v="365"/>
    <n v="462"/>
    <n v="1095"/>
    <n v="633"/>
  </r>
  <r>
    <x v="122"/>
    <s v="SNEHA"/>
    <x v="3"/>
    <x v="5"/>
    <x v="2"/>
    <s v="FEMALE"/>
    <n v="4"/>
    <n v="397"/>
    <n v="489"/>
    <n v="1588"/>
    <n v="1956"/>
    <n v="368"/>
  </r>
  <r>
    <x v="123"/>
    <s v="AMAN"/>
    <x v="2"/>
    <x v="19"/>
    <x v="2"/>
    <s v="FEMALE"/>
    <n v="5"/>
    <n v="130"/>
    <n v="307"/>
    <n v="650"/>
    <n v="1535"/>
    <n v="885"/>
  </r>
  <r>
    <x v="17"/>
    <s v="SNEHA"/>
    <x v="3"/>
    <x v="8"/>
    <x v="3"/>
    <s v="FEMALE"/>
    <n v="1"/>
    <n v="314"/>
    <n v="481"/>
    <n v="314"/>
    <n v="481"/>
    <n v="167"/>
  </r>
  <r>
    <x v="124"/>
    <s v="SNEHA"/>
    <x v="1"/>
    <x v="3"/>
    <x v="0"/>
    <s v="FEMALE"/>
    <n v="1"/>
    <n v="144"/>
    <n v="229"/>
    <n v="144"/>
    <n v="229"/>
    <n v="85"/>
  </r>
  <r>
    <x v="125"/>
    <s v="PRIYA"/>
    <x v="3"/>
    <x v="8"/>
    <x v="4"/>
    <s v="FEMALE"/>
    <n v="6"/>
    <n v="285"/>
    <n v="472"/>
    <n v="1710"/>
    <n v="2832"/>
    <n v="1122"/>
  </r>
  <r>
    <x v="126"/>
    <s v="AMAN"/>
    <x v="4"/>
    <x v="15"/>
    <x v="2"/>
    <s v="MALE"/>
    <n v="4"/>
    <n v="227"/>
    <n v="505"/>
    <n v="908"/>
    <n v="2020"/>
    <n v="1112"/>
  </r>
  <r>
    <x v="127"/>
    <s v="AVINASH"/>
    <x v="1"/>
    <x v="3"/>
    <x v="1"/>
    <s v="MALE"/>
    <n v="10"/>
    <n v="257"/>
    <n v="460"/>
    <n v="2570"/>
    <n v="4600"/>
    <n v="2030"/>
  </r>
  <r>
    <x v="128"/>
    <s v="DIVYA"/>
    <x v="4"/>
    <x v="18"/>
    <x v="4"/>
    <s v="MALE"/>
    <n v="3"/>
    <n v="214"/>
    <n v="422"/>
    <n v="642"/>
    <n v="1266"/>
    <n v="624"/>
  </r>
  <r>
    <x v="23"/>
    <s v="RAHUL"/>
    <x v="0"/>
    <x v="20"/>
    <x v="2"/>
    <s v="MALE"/>
    <n v="3"/>
    <n v="149"/>
    <n v="442"/>
    <n v="447"/>
    <n v="1326"/>
    <n v="879"/>
  </r>
  <r>
    <x v="24"/>
    <s v="RAHUL"/>
    <x v="2"/>
    <x v="17"/>
    <x v="2"/>
    <s v="MALE"/>
    <n v="8"/>
    <n v="221"/>
    <n v="324"/>
    <n v="1768"/>
    <n v="2592"/>
    <n v="824"/>
  </r>
  <r>
    <x v="25"/>
    <s v="PRIYA"/>
    <x v="4"/>
    <x v="7"/>
    <x v="0"/>
    <s v="FEMALE"/>
    <n v="4"/>
    <n v="389"/>
    <n v="471"/>
    <n v="1556"/>
    <n v="1884"/>
    <n v="328"/>
  </r>
  <r>
    <x v="129"/>
    <s v="NEHA"/>
    <x v="0"/>
    <x v="20"/>
    <x v="4"/>
    <s v="MALE"/>
    <n v="9"/>
    <n v="197"/>
    <n v="334"/>
    <n v="1773"/>
    <n v="3006"/>
    <n v="1233"/>
  </r>
  <r>
    <x v="27"/>
    <s v="ROHAN"/>
    <x v="1"/>
    <x v="2"/>
    <x v="3"/>
    <s v="FEMALE"/>
    <n v="8"/>
    <n v="252"/>
    <n v="515"/>
    <n v="2016"/>
    <n v="4120"/>
    <n v="2104"/>
  </r>
  <r>
    <x v="28"/>
    <s v="AVINASH"/>
    <x v="4"/>
    <x v="15"/>
    <x v="4"/>
    <s v="FEMALE"/>
    <n v="10"/>
    <n v="363"/>
    <n v="532"/>
    <n v="3630"/>
    <n v="5320"/>
    <n v="1690"/>
  </r>
  <r>
    <x v="130"/>
    <s v="DIVYA"/>
    <x v="2"/>
    <x v="17"/>
    <x v="1"/>
    <s v="MALE"/>
    <n v="5"/>
    <n v="142"/>
    <n v="254"/>
    <n v="710"/>
    <n v="1270"/>
    <n v="560"/>
  </r>
  <r>
    <x v="131"/>
    <s v="AMAN"/>
    <x v="2"/>
    <x v="19"/>
    <x v="4"/>
    <s v="FEMALE"/>
    <n v="9"/>
    <n v="217"/>
    <n v="467"/>
    <n v="1953"/>
    <n v="4203"/>
    <n v="2250"/>
  </r>
  <r>
    <x v="132"/>
    <s v="AVINASH"/>
    <x v="1"/>
    <x v="10"/>
    <x v="3"/>
    <s v="FEMALE"/>
    <n v="10"/>
    <n v="356"/>
    <n v="592"/>
    <n v="3560"/>
    <n v="5920"/>
    <n v="2360"/>
  </r>
  <r>
    <x v="133"/>
    <s v="AMAN"/>
    <x v="3"/>
    <x v="23"/>
    <x v="0"/>
    <s v="MALE"/>
    <n v="3"/>
    <n v="211"/>
    <n v="381"/>
    <n v="633"/>
    <n v="1143"/>
    <n v="510"/>
  </r>
  <r>
    <x v="33"/>
    <s v="ROHAN"/>
    <x v="0"/>
    <x v="21"/>
    <x v="3"/>
    <s v="MALE"/>
    <n v="9"/>
    <n v="146"/>
    <n v="222"/>
    <n v="1314"/>
    <n v="1998"/>
    <n v="684"/>
  </r>
  <r>
    <x v="34"/>
    <s v="AMAN"/>
    <x v="4"/>
    <x v="18"/>
    <x v="1"/>
    <s v="MALE"/>
    <n v="9"/>
    <n v="181"/>
    <n v="246"/>
    <n v="1629"/>
    <n v="2214"/>
    <n v="585"/>
  </r>
  <r>
    <x v="134"/>
    <s v="DIVYA"/>
    <x v="3"/>
    <x v="23"/>
    <x v="1"/>
    <s v="FEMALE"/>
    <n v="6"/>
    <n v="148"/>
    <n v="249"/>
    <n v="888"/>
    <n v="1494"/>
    <n v="606"/>
  </r>
  <r>
    <x v="0"/>
    <s v="RAHUL"/>
    <x v="1"/>
    <x v="2"/>
    <x v="1"/>
    <s v="FEMALE"/>
    <n v="7"/>
    <n v="239"/>
    <n v="352"/>
    <n v="1673"/>
    <n v="2464"/>
    <n v="791"/>
  </r>
  <r>
    <x v="135"/>
    <s v="NEHA"/>
    <x v="4"/>
    <x v="14"/>
    <x v="3"/>
    <s v="MALE"/>
    <n v="8"/>
    <n v="285"/>
    <n v="449"/>
    <n v="2280"/>
    <n v="3592"/>
    <n v="1312"/>
  </r>
  <r>
    <x v="136"/>
    <s v="NEHA"/>
    <x v="3"/>
    <x v="8"/>
    <x v="4"/>
    <s v="MALE"/>
    <n v="6"/>
    <n v="114"/>
    <n v="362"/>
    <n v="684"/>
    <n v="2172"/>
    <n v="1488"/>
  </r>
  <r>
    <x v="3"/>
    <s v="RAHUL"/>
    <x v="0"/>
    <x v="21"/>
    <x v="0"/>
    <s v="MALE"/>
    <n v="4"/>
    <n v="482"/>
    <n v="615"/>
    <n v="1928"/>
    <n v="2460"/>
    <n v="532"/>
  </r>
  <r>
    <x v="137"/>
    <s v="AMAN"/>
    <x v="0"/>
    <x v="20"/>
    <x v="0"/>
    <s v="MALE"/>
    <n v="3"/>
    <n v="263"/>
    <n v="315"/>
    <n v="789"/>
    <n v="945"/>
    <n v="156"/>
  </r>
  <r>
    <x v="41"/>
    <s v="NEHA"/>
    <x v="2"/>
    <x v="19"/>
    <x v="4"/>
    <s v="MALE"/>
    <n v="5"/>
    <n v="383"/>
    <n v="524"/>
    <n v="1915"/>
    <n v="2620"/>
    <n v="705"/>
  </r>
  <r>
    <x v="6"/>
    <s v="AMAN"/>
    <x v="4"/>
    <x v="14"/>
    <x v="0"/>
    <s v="FEMALE"/>
    <n v="6"/>
    <n v="284"/>
    <n v="486"/>
    <n v="1704"/>
    <n v="2916"/>
    <n v="1212"/>
  </r>
  <r>
    <x v="7"/>
    <s v="AVINASH"/>
    <x v="0"/>
    <x v="21"/>
    <x v="1"/>
    <s v="MALE"/>
    <n v="5"/>
    <n v="214"/>
    <n v="376"/>
    <n v="1070"/>
    <n v="1880"/>
    <n v="810"/>
  </r>
  <r>
    <x v="8"/>
    <s v="RAHUL"/>
    <x v="2"/>
    <x v="19"/>
    <x v="3"/>
    <s v="FEMALE"/>
    <n v="7"/>
    <n v="272"/>
    <n v="405"/>
    <n v="1904"/>
    <n v="2835"/>
    <n v="931"/>
  </r>
  <r>
    <x v="9"/>
    <s v="RAHUL"/>
    <x v="0"/>
    <x v="6"/>
    <x v="4"/>
    <s v="MALE"/>
    <n v="5"/>
    <n v="343"/>
    <n v="501"/>
    <n v="1715"/>
    <n v="2505"/>
    <n v="790"/>
  </r>
  <r>
    <x v="46"/>
    <s v="NEHA"/>
    <x v="3"/>
    <x v="9"/>
    <x v="3"/>
    <s v="MALE"/>
    <n v="3"/>
    <n v="215"/>
    <n v="396"/>
    <n v="645"/>
    <n v="1188"/>
    <n v="543"/>
  </r>
  <r>
    <x v="83"/>
    <s v="NEHA"/>
    <x v="0"/>
    <x v="21"/>
    <x v="0"/>
    <s v="FEMALE"/>
    <n v="6"/>
    <n v="273"/>
    <n v="420"/>
    <n v="1638"/>
    <n v="2520"/>
    <n v="882"/>
  </r>
  <r>
    <x v="12"/>
    <s v="PRIYA"/>
    <x v="3"/>
    <x v="11"/>
    <x v="4"/>
    <s v="MALE"/>
    <n v="5"/>
    <n v="491"/>
    <n v="579"/>
    <n v="2455"/>
    <n v="2895"/>
    <n v="440"/>
  </r>
  <r>
    <x v="138"/>
    <s v="RAHUL"/>
    <x v="0"/>
    <x v="6"/>
    <x v="2"/>
    <s v="FEMALE"/>
    <n v="10"/>
    <n v="251"/>
    <n v="318"/>
    <n v="2510"/>
    <n v="3180"/>
    <n v="670"/>
  </r>
  <r>
    <x v="139"/>
    <s v="DIVYA"/>
    <x v="2"/>
    <x v="17"/>
    <x v="4"/>
    <s v="FEMALE"/>
    <n v="10"/>
    <n v="394"/>
    <n v="615"/>
    <n v="3940"/>
    <n v="6150"/>
    <n v="2210"/>
  </r>
  <r>
    <x v="15"/>
    <s v="ROHAN"/>
    <x v="3"/>
    <x v="9"/>
    <x v="0"/>
    <s v="FEMALE"/>
    <n v="1"/>
    <n v="222"/>
    <n v="358"/>
    <n v="222"/>
    <n v="358"/>
    <n v="136"/>
  </r>
  <r>
    <x v="140"/>
    <s v="RAHUL"/>
    <x v="4"/>
    <x v="18"/>
    <x v="3"/>
    <s v="FEMALE"/>
    <n v="7"/>
    <n v="241"/>
    <n v="315"/>
    <n v="1687"/>
    <n v="2205"/>
    <n v="518"/>
  </r>
  <r>
    <x v="53"/>
    <s v="AMAN"/>
    <x v="2"/>
    <x v="19"/>
    <x v="0"/>
    <s v="MALE"/>
    <n v="4"/>
    <n v="351"/>
    <n v="534"/>
    <n v="1404"/>
    <n v="2136"/>
    <n v="732"/>
  </r>
  <r>
    <x v="18"/>
    <s v="RAHUL"/>
    <x v="3"/>
    <x v="11"/>
    <x v="0"/>
    <s v="MALE"/>
    <n v="7"/>
    <n v="420"/>
    <n v="692"/>
    <n v="2940"/>
    <n v="4844"/>
    <n v="1904"/>
  </r>
  <r>
    <x v="55"/>
    <s v="AMAN"/>
    <x v="2"/>
    <x v="22"/>
    <x v="0"/>
    <s v="MALE"/>
    <n v="9"/>
    <n v="399"/>
    <n v="511"/>
    <n v="3591"/>
    <n v="4599"/>
    <n v="1008"/>
  </r>
  <r>
    <x v="56"/>
    <s v="SNEHA"/>
    <x v="2"/>
    <x v="4"/>
    <x v="3"/>
    <s v="MALE"/>
    <n v="6"/>
    <n v="141"/>
    <n v="337"/>
    <n v="846"/>
    <n v="2022"/>
    <n v="1176"/>
  </r>
  <r>
    <x v="57"/>
    <s v="RAHUL"/>
    <x v="1"/>
    <x v="16"/>
    <x v="2"/>
    <s v="FEMALE"/>
    <n v="7"/>
    <n v="154"/>
    <n v="435"/>
    <n v="1078"/>
    <n v="3045"/>
    <n v="1967"/>
  </r>
  <r>
    <x v="58"/>
    <s v="DIVYA"/>
    <x v="2"/>
    <x v="24"/>
    <x v="3"/>
    <s v="MALE"/>
    <n v="10"/>
    <n v="279"/>
    <n v="425"/>
    <n v="2790"/>
    <n v="4250"/>
    <n v="1460"/>
  </r>
  <r>
    <x v="59"/>
    <s v="SNEHA"/>
    <x v="1"/>
    <x v="1"/>
    <x v="1"/>
    <s v="MALE"/>
    <n v="4"/>
    <n v="245"/>
    <n v="405"/>
    <n v="980"/>
    <n v="1620"/>
    <n v="640"/>
  </r>
  <r>
    <x v="141"/>
    <s v="RAHUL"/>
    <x v="0"/>
    <x v="6"/>
    <x v="0"/>
    <s v="FEMALE"/>
    <n v="3"/>
    <n v="229"/>
    <n v="396"/>
    <n v="687"/>
    <n v="1188"/>
    <n v="501"/>
  </r>
  <r>
    <x v="142"/>
    <s v="AMAN"/>
    <x v="1"/>
    <x v="16"/>
    <x v="2"/>
    <s v="MALE"/>
    <n v="10"/>
    <n v="424"/>
    <n v="649"/>
    <n v="4240"/>
    <n v="6490"/>
    <n v="2250"/>
  </r>
  <r>
    <x v="62"/>
    <s v="PRIYA"/>
    <x v="3"/>
    <x v="23"/>
    <x v="3"/>
    <s v="MALE"/>
    <n v="3"/>
    <n v="271"/>
    <n v="455"/>
    <n v="813"/>
    <n v="1365"/>
    <n v="552"/>
  </r>
  <r>
    <x v="99"/>
    <s v="RAHUL"/>
    <x v="2"/>
    <x v="24"/>
    <x v="3"/>
    <s v="MALE"/>
    <n v="6"/>
    <n v="267"/>
    <n v="375"/>
    <n v="1602"/>
    <n v="2250"/>
    <n v="648"/>
  </r>
  <r>
    <x v="100"/>
    <s v="DIVYA"/>
    <x v="3"/>
    <x v="9"/>
    <x v="0"/>
    <s v="FEMALE"/>
    <n v="9"/>
    <n v="385"/>
    <n v="564"/>
    <n v="3465"/>
    <n v="5076"/>
    <n v="1611"/>
  </r>
  <r>
    <x v="101"/>
    <s v="RAHUL"/>
    <x v="2"/>
    <x v="22"/>
    <x v="1"/>
    <s v="FEMALE"/>
    <n v="4"/>
    <n v="357"/>
    <n v="560"/>
    <n v="1428"/>
    <n v="2240"/>
    <n v="812"/>
  </r>
  <r>
    <x v="102"/>
    <s v="RAHUL"/>
    <x v="0"/>
    <x v="21"/>
    <x v="0"/>
    <s v="MALE"/>
    <n v="3"/>
    <n v="411"/>
    <n v="521"/>
    <n v="1233"/>
    <n v="1563"/>
    <n v="330"/>
  </r>
  <r>
    <x v="103"/>
    <s v="AMAN"/>
    <x v="3"/>
    <x v="23"/>
    <x v="1"/>
    <s v="FEMALE"/>
    <n v="5"/>
    <n v="468"/>
    <n v="574"/>
    <n v="2340"/>
    <n v="2870"/>
    <n v="530"/>
  </r>
  <r>
    <x v="104"/>
    <s v="AMAN"/>
    <x v="2"/>
    <x v="4"/>
    <x v="4"/>
    <s v="MALE"/>
    <n v="8"/>
    <n v="462"/>
    <n v="551"/>
    <n v="3696"/>
    <n v="4408"/>
    <n v="712"/>
  </r>
  <r>
    <x v="105"/>
    <s v="AMAN"/>
    <x v="0"/>
    <x v="20"/>
    <x v="2"/>
    <s v="MALE"/>
    <n v="2"/>
    <n v="295"/>
    <n v="562"/>
    <n v="590"/>
    <n v="1124"/>
    <n v="534"/>
  </r>
  <r>
    <x v="106"/>
    <s v="RAHUL"/>
    <x v="2"/>
    <x v="17"/>
    <x v="1"/>
    <s v="MALE"/>
    <n v="6"/>
    <n v="115"/>
    <n v="172"/>
    <n v="690"/>
    <n v="1032"/>
    <n v="342"/>
  </r>
  <r>
    <x v="107"/>
    <s v="DIVYA"/>
    <x v="3"/>
    <x v="5"/>
    <x v="4"/>
    <s v="FEMALE"/>
    <n v="9"/>
    <n v="162"/>
    <n v="307"/>
    <n v="1458"/>
    <n v="2763"/>
    <n v="1305"/>
  </r>
  <r>
    <x v="72"/>
    <s v="DIVYA"/>
    <x v="2"/>
    <x v="22"/>
    <x v="1"/>
    <s v="MALE"/>
    <n v="9"/>
    <n v="453"/>
    <n v="713"/>
    <n v="4077"/>
    <n v="6417"/>
    <n v="2340"/>
  </r>
  <r>
    <x v="1"/>
    <s v="ROHAN"/>
    <x v="4"/>
    <x v="18"/>
    <x v="0"/>
    <s v="FEMALE"/>
    <n v="3"/>
    <n v="314"/>
    <n v="509"/>
    <n v="942"/>
    <n v="1527"/>
    <n v="585"/>
  </r>
  <r>
    <x v="2"/>
    <s v="RAHUL"/>
    <x v="1"/>
    <x v="2"/>
    <x v="1"/>
    <s v="FEMALE"/>
    <n v="9"/>
    <n v="369"/>
    <n v="659"/>
    <n v="3321"/>
    <n v="5931"/>
    <n v="2610"/>
  </r>
  <r>
    <x v="111"/>
    <s v="ROHAN"/>
    <x v="4"/>
    <x v="15"/>
    <x v="3"/>
    <s v="FEMALE"/>
    <n v="4"/>
    <n v="422"/>
    <n v="591"/>
    <n v="1688"/>
    <n v="2364"/>
    <n v="676"/>
  </r>
  <r>
    <x v="112"/>
    <s v="ROHAN"/>
    <x v="2"/>
    <x v="19"/>
    <x v="2"/>
    <s v="MALE"/>
    <n v="8"/>
    <n v="138"/>
    <n v="190"/>
    <n v="1104"/>
    <n v="1520"/>
    <n v="416"/>
  </r>
  <r>
    <x v="77"/>
    <s v="ROHAN"/>
    <x v="3"/>
    <x v="23"/>
    <x v="0"/>
    <s v="FEMALE"/>
    <n v="9"/>
    <n v="422"/>
    <n v="530"/>
    <n v="3798"/>
    <n v="4770"/>
    <n v="972"/>
  </r>
  <r>
    <x v="78"/>
    <s v="AVINASH"/>
    <x v="1"/>
    <x v="1"/>
    <x v="1"/>
    <s v="MALE"/>
    <n v="8"/>
    <n v="382"/>
    <n v="441"/>
    <n v="3056"/>
    <n v="3528"/>
    <n v="472"/>
  </r>
  <r>
    <x v="79"/>
    <s v="SNEHA"/>
    <x v="2"/>
    <x v="4"/>
    <x v="3"/>
    <s v="MALE"/>
    <n v="2"/>
    <n v="487"/>
    <n v="537"/>
    <n v="974"/>
    <n v="1074"/>
    <n v="100"/>
  </r>
  <r>
    <x v="80"/>
    <s v="RAHUL"/>
    <x v="2"/>
    <x v="22"/>
    <x v="2"/>
    <s v="FEMALE"/>
    <n v="10"/>
    <n v="340"/>
    <n v="458"/>
    <n v="3400"/>
    <n v="4580"/>
    <n v="1180"/>
  </r>
  <r>
    <x v="81"/>
    <s v="RAHUL"/>
    <x v="3"/>
    <x v="23"/>
    <x v="1"/>
    <s v="FEMALE"/>
    <n v="2"/>
    <n v="147"/>
    <n v="351"/>
    <n v="294"/>
    <n v="702"/>
    <n v="408"/>
  </r>
  <r>
    <x v="82"/>
    <s v="ROHAN"/>
    <x v="3"/>
    <x v="9"/>
    <x v="4"/>
    <s v="FEMALE"/>
    <n v="8"/>
    <n v="389"/>
    <n v="516"/>
    <n v="3112"/>
    <n v="4128"/>
    <n v="1016"/>
  </r>
  <r>
    <x v="119"/>
    <s v="NEHA"/>
    <x v="2"/>
    <x v="4"/>
    <x v="2"/>
    <s v="MALE"/>
    <n v="7"/>
    <n v="274"/>
    <n v="453"/>
    <n v="1918"/>
    <n v="3171"/>
    <n v="1253"/>
  </r>
  <r>
    <x v="143"/>
    <s v="PRIYA"/>
    <x v="1"/>
    <x v="10"/>
    <x v="4"/>
    <s v="FEMALE"/>
    <n v="2"/>
    <n v="181"/>
    <n v="396"/>
    <n v="362"/>
    <n v="792"/>
    <n v="430"/>
  </r>
  <r>
    <x v="13"/>
    <s v="DIVYA"/>
    <x v="2"/>
    <x v="17"/>
    <x v="2"/>
    <s v="MALE"/>
    <n v="2"/>
    <n v="483"/>
    <n v="742"/>
    <n v="966"/>
    <n v="1484"/>
    <n v="518"/>
  </r>
  <r>
    <x v="14"/>
    <s v="NEHA"/>
    <x v="0"/>
    <x v="21"/>
    <x v="2"/>
    <s v="MALE"/>
    <n v="6"/>
    <n v="270"/>
    <n v="320"/>
    <n v="1620"/>
    <n v="1920"/>
    <n v="300"/>
  </r>
  <r>
    <x v="122"/>
    <s v="PRIYA"/>
    <x v="1"/>
    <x v="10"/>
    <x v="0"/>
    <s v="FEMALE"/>
    <n v="3"/>
    <n v="314"/>
    <n v="447"/>
    <n v="942"/>
    <n v="1341"/>
    <n v="399"/>
  </r>
  <r>
    <x v="123"/>
    <s v="SNEHA"/>
    <x v="0"/>
    <x v="0"/>
    <x v="4"/>
    <s v="FEMALE"/>
    <n v="4"/>
    <n v="196"/>
    <n v="365"/>
    <n v="784"/>
    <n v="1460"/>
    <n v="676"/>
  </r>
  <r>
    <x v="17"/>
    <s v="AMAN"/>
    <x v="2"/>
    <x v="24"/>
    <x v="2"/>
    <s v="MALE"/>
    <n v="7"/>
    <n v="449"/>
    <n v="620"/>
    <n v="3143"/>
    <n v="4340"/>
    <n v="1197"/>
  </r>
  <r>
    <x v="18"/>
    <s v="AMAN"/>
    <x v="1"/>
    <x v="16"/>
    <x v="1"/>
    <s v="MALE"/>
    <n v="10"/>
    <n v="120"/>
    <n v="289"/>
    <n v="1200"/>
    <n v="2890"/>
    <n v="1690"/>
  </r>
  <r>
    <x v="55"/>
    <s v="NEHA"/>
    <x v="0"/>
    <x v="6"/>
    <x v="1"/>
    <s v="FEMALE"/>
    <n v="1"/>
    <n v="279"/>
    <n v="553"/>
    <n v="279"/>
    <n v="553"/>
    <n v="274"/>
  </r>
  <r>
    <x v="56"/>
    <s v="NEHA"/>
    <x v="3"/>
    <x v="23"/>
    <x v="0"/>
    <s v="MALE"/>
    <n v="7"/>
    <n v="100"/>
    <n v="196"/>
    <n v="700"/>
    <n v="1372"/>
    <n v="672"/>
  </r>
  <r>
    <x v="127"/>
    <s v="SNEHA"/>
    <x v="1"/>
    <x v="10"/>
    <x v="1"/>
    <s v="MALE"/>
    <n v="2"/>
    <n v="215"/>
    <n v="273"/>
    <n v="430"/>
    <n v="546"/>
    <n v="116"/>
  </r>
  <r>
    <x v="128"/>
    <s v="DIVYA"/>
    <x v="4"/>
    <x v="14"/>
    <x v="0"/>
    <s v="MALE"/>
    <n v="4"/>
    <n v="171"/>
    <n v="256"/>
    <n v="684"/>
    <n v="1024"/>
    <n v="340"/>
  </r>
  <r>
    <x v="23"/>
    <s v="RAHUL"/>
    <x v="4"/>
    <x v="7"/>
    <x v="0"/>
    <s v="MALE"/>
    <n v="6"/>
    <n v="153"/>
    <n v="286"/>
    <n v="918"/>
    <n v="1716"/>
    <n v="798"/>
  </r>
  <r>
    <x v="96"/>
    <s v="RAHUL"/>
    <x v="3"/>
    <x v="8"/>
    <x v="3"/>
    <s v="FEMALE"/>
    <n v="5"/>
    <n v="272"/>
    <n v="510"/>
    <n v="1360"/>
    <n v="2550"/>
    <n v="1190"/>
  </r>
  <r>
    <x v="97"/>
    <s v="AMAN"/>
    <x v="1"/>
    <x v="1"/>
    <x v="0"/>
    <s v="FEMALE"/>
    <n v="1"/>
    <n v="428"/>
    <n v="612"/>
    <n v="428"/>
    <n v="612"/>
    <n v="184"/>
  </r>
  <r>
    <x v="26"/>
    <s v="ROHAN"/>
    <x v="4"/>
    <x v="18"/>
    <x v="3"/>
    <s v="MALE"/>
    <n v="8"/>
    <n v="466"/>
    <n v="617"/>
    <n v="3728"/>
    <n v="4936"/>
    <n v="1208"/>
  </r>
  <r>
    <x v="144"/>
    <s v="ROHAN"/>
    <x v="3"/>
    <x v="5"/>
    <x v="0"/>
    <s v="FEMALE"/>
    <n v="1"/>
    <n v="431"/>
    <n v="630"/>
    <n v="431"/>
    <n v="630"/>
    <n v="199"/>
  </r>
  <r>
    <x v="145"/>
    <s v="AMAN"/>
    <x v="0"/>
    <x v="21"/>
    <x v="2"/>
    <s v="FEMALE"/>
    <n v="10"/>
    <n v="496"/>
    <n v="671"/>
    <n v="4960"/>
    <n v="6710"/>
    <n v="1750"/>
  </r>
  <r>
    <x v="130"/>
    <s v="RAHUL"/>
    <x v="3"/>
    <x v="8"/>
    <x v="0"/>
    <s v="FEMALE"/>
    <n v="6"/>
    <n v="332"/>
    <n v="462"/>
    <n v="1992"/>
    <n v="2772"/>
    <n v="780"/>
  </r>
  <r>
    <x v="131"/>
    <s v="RAHUL"/>
    <x v="2"/>
    <x v="24"/>
    <x v="0"/>
    <s v="MALE"/>
    <n v="10"/>
    <n v="256"/>
    <n v="331"/>
    <n v="2560"/>
    <n v="3310"/>
    <n v="750"/>
  </r>
  <r>
    <x v="132"/>
    <s v="AMAN"/>
    <x v="0"/>
    <x v="12"/>
    <x v="1"/>
    <s v="MALE"/>
    <n v="8"/>
    <n v="404"/>
    <n v="556"/>
    <n v="3232"/>
    <n v="4448"/>
    <n v="1216"/>
  </r>
  <r>
    <x v="133"/>
    <s v="AMAN"/>
    <x v="3"/>
    <x v="5"/>
    <x v="1"/>
    <s v="MALE"/>
    <n v="7"/>
    <n v="480"/>
    <n v="531"/>
    <n v="3360"/>
    <n v="3717"/>
    <n v="357"/>
  </r>
  <r>
    <x v="33"/>
    <s v="ROHAN"/>
    <x v="4"/>
    <x v="15"/>
    <x v="0"/>
    <s v="FEMALE"/>
    <n v="8"/>
    <n v="468"/>
    <n v="749"/>
    <n v="3744"/>
    <n v="5992"/>
    <n v="2248"/>
  </r>
  <r>
    <x v="34"/>
    <s v="AVINASH"/>
    <x v="0"/>
    <x v="6"/>
    <x v="2"/>
    <s v="MALE"/>
    <n v="10"/>
    <n v="441"/>
    <n v="494"/>
    <n v="4410"/>
    <n v="4940"/>
    <n v="530"/>
  </r>
  <r>
    <x v="134"/>
    <s v="ROHAN"/>
    <x v="4"/>
    <x v="15"/>
    <x v="2"/>
    <s v="MALE"/>
    <n v="5"/>
    <n v="335"/>
    <n v="610"/>
    <n v="1675"/>
    <n v="3050"/>
    <n v="1375"/>
  </r>
  <r>
    <x v="1"/>
    <s v="RAHUL"/>
    <x v="0"/>
    <x v="0"/>
    <x v="0"/>
    <s v="MALE"/>
    <n v="8"/>
    <n v="462"/>
    <n v="529"/>
    <n v="3696"/>
    <n v="4232"/>
    <n v="536"/>
  </r>
  <r>
    <x v="73"/>
    <s v="AVINASH"/>
    <x v="1"/>
    <x v="2"/>
    <x v="4"/>
    <s v="MALE"/>
    <n v="1"/>
    <n v="474"/>
    <n v="643"/>
    <n v="474"/>
    <n v="643"/>
    <n v="169"/>
  </r>
  <r>
    <x v="74"/>
    <s v="NEHA"/>
    <x v="3"/>
    <x v="11"/>
    <x v="1"/>
    <s v="FEMALE"/>
    <n v="8"/>
    <n v="434"/>
    <n v="540"/>
    <n v="3472"/>
    <n v="4320"/>
    <n v="848"/>
  </r>
  <r>
    <x v="0"/>
    <s v="PRIYA"/>
    <x v="1"/>
    <x v="10"/>
    <x v="1"/>
    <s v="FEMALE"/>
    <n v="10"/>
    <n v="275"/>
    <n v="564"/>
    <n v="2750"/>
    <n v="5640"/>
    <n v="2890"/>
  </r>
  <r>
    <x v="137"/>
    <s v="PRIYA"/>
    <x v="4"/>
    <x v="7"/>
    <x v="3"/>
    <s v="MALE"/>
    <n v="10"/>
    <n v="433"/>
    <n v="689"/>
    <n v="4330"/>
    <n v="6890"/>
    <n v="2560"/>
  </r>
  <r>
    <x v="41"/>
    <s v="NEHA"/>
    <x v="0"/>
    <x v="6"/>
    <x v="1"/>
    <s v="FEMALE"/>
    <n v="1"/>
    <n v="264"/>
    <n v="401"/>
    <n v="264"/>
    <n v="401"/>
    <n v="137"/>
  </r>
  <r>
    <x v="114"/>
    <s v="ROHAN"/>
    <x v="2"/>
    <x v="17"/>
    <x v="3"/>
    <s v="FEMALE"/>
    <n v="9"/>
    <n v="500"/>
    <n v="593"/>
    <n v="4500"/>
    <n v="5337"/>
    <n v="837"/>
  </r>
  <r>
    <x v="115"/>
    <s v="NEHA"/>
    <x v="0"/>
    <x v="20"/>
    <x v="0"/>
    <s v="MALE"/>
    <n v="1"/>
    <n v="160"/>
    <n v="399"/>
    <n v="160"/>
    <n v="399"/>
    <n v="239"/>
  </r>
  <r>
    <x v="44"/>
    <s v="AMAN"/>
    <x v="4"/>
    <x v="14"/>
    <x v="0"/>
    <s v="FEMALE"/>
    <n v="4"/>
    <n v="382"/>
    <n v="482"/>
    <n v="1528"/>
    <n v="1928"/>
    <n v="400"/>
  </r>
  <r>
    <x v="45"/>
    <s v="ROHAN"/>
    <x v="2"/>
    <x v="17"/>
    <x v="2"/>
    <s v="MALE"/>
    <n v="9"/>
    <n v="112"/>
    <n v="361"/>
    <n v="1008"/>
    <n v="3249"/>
    <n v="2241"/>
  </r>
  <r>
    <x v="146"/>
    <s v="NEHA"/>
    <x v="3"/>
    <x v="5"/>
    <x v="1"/>
    <s v="FEMALE"/>
    <n v="1"/>
    <n v="430"/>
    <n v="711"/>
    <n v="430"/>
    <n v="711"/>
    <n v="281"/>
  </r>
  <r>
    <x v="11"/>
    <s v="DIVYA"/>
    <x v="0"/>
    <x v="21"/>
    <x v="3"/>
    <s v="MALE"/>
    <n v="6"/>
    <n v="385"/>
    <n v="567"/>
    <n v="2310"/>
    <n v="3402"/>
    <n v="1092"/>
  </r>
  <r>
    <x v="12"/>
    <s v="SNEHA"/>
    <x v="0"/>
    <x v="0"/>
    <x v="4"/>
    <s v="MALE"/>
    <n v="6"/>
    <n v="105"/>
    <n v="259"/>
    <n v="630"/>
    <n v="1554"/>
    <n v="924"/>
  </r>
  <r>
    <x v="138"/>
    <s v="ROHAN"/>
    <x v="0"/>
    <x v="6"/>
    <x v="1"/>
    <s v="MALE"/>
    <n v="1"/>
    <n v="236"/>
    <n v="448"/>
    <n v="236"/>
    <n v="448"/>
    <n v="212"/>
  </r>
  <r>
    <x v="139"/>
    <s v="AMAN"/>
    <x v="1"/>
    <x v="2"/>
    <x v="0"/>
    <s v="FEMALE"/>
    <n v="1"/>
    <n v="411"/>
    <n v="466"/>
    <n v="411"/>
    <n v="466"/>
    <n v="55"/>
  </r>
  <r>
    <x v="15"/>
    <s v="PRIYA"/>
    <x v="1"/>
    <x v="3"/>
    <x v="3"/>
    <s v="MALE"/>
    <n v="7"/>
    <n v="492"/>
    <n v="637"/>
    <n v="3444"/>
    <n v="4459"/>
    <n v="1015"/>
  </r>
  <r>
    <x v="140"/>
    <s v="ROHAN"/>
    <x v="1"/>
    <x v="16"/>
    <x v="3"/>
    <s v="MALE"/>
    <n v="6"/>
    <n v="416"/>
    <n v="632"/>
    <n v="2496"/>
    <n v="3792"/>
    <n v="1296"/>
  </r>
  <r>
    <x v="89"/>
    <s v="PRIYA"/>
    <x v="1"/>
    <x v="2"/>
    <x v="0"/>
    <s v="FEMALE"/>
    <n v="10"/>
    <n v="448"/>
    <n v="689"/>
    <n v="4480"/>
    <n v="6890"/>
    <n v="2410"/>
  </r>
  <r>
    <x v="147"/>
    <s v="DIVYA"/>
    <x v="3"/>
    <x v="23"/>
    <x v="4"/>
    <s v="MALE"/>
    <n v="9"/>
    <n v="232"/>
    <n v="501"/>
    <n v="2088"/>
    <n v="4509"/>
    <n v="2421"/>
  </r>
  <r>
    <x v="148"/>
    <s v="NEHA"/>
    <x v="1"/>
    <x v="3"/>
    <x v="1"/>
    <s v="MALE"/>
    <n v="2"/>
    <n v="144"/>
    <n v="228"/>
    <n v="288"/>
    <n v="456"/>
    <n v="168"/>
  </r>
  <r>
    <x v="149"/>
    <s v="AMAN"/>
    <x v="1"/>
    <x v="2"/>
    <x v="1"/>
    <s v="FEMALE"/>
    <n v="7"/>
    <n v="425"/>
    <n v="618"/>
    <n v="2975"/>
    <n v="4326"/>
    <n v="1351"/>
  </r>
  <r>
    <x v="150"/>
    <s v="ROHAN"/>
    <x v="3"/>
    <x v="5"/>
    <x v="3"/>
    <s v="MALE"/>
    <n v="6"/>
    <n v="481"/>
    <n v="649"/>
    <n v="2886"/>
    <n v="3894"/>
    <n v="1008"/>
  </r>
  <r>
    <x v="151"/>
    <s v="ROHAN"/>
    <x v="1"/>
    <x v="10"/>
    <x v="1"/>
    <s v="MALE"/>
    <n v="7"/>
    <n v="138"/>
    <n v="381"/>
    <n v="966"/>
    <n v="2667"/>
    <n v="1701"/>
  </r>
  <r>
    <x v="152"/>
    <s v="ROHAN"/>
    <x v="2"/>
    <x v="19"/>
    <x v="3"/>
    <s v="MALE"/>
    <n v="8"/>
    <n v="458"/>
    <n v="689"/>
    <n v="3664"/>
    <n v="5512"/>
    <n v="1848"/>
  </r>
  <r>
    <x v="153"/>
    <s v="AVINASH"/>
    <x v="4"/>
    <x v="13"/>
    <x v="2"/>
    <s v="FEMALE"/>
    <n v="7"/>
    <n v="259"/>
    <n v="333"/>
    <n v="1813"/>
    <n v="2331"/>
    <n v="518"/>
  </r>
  <r>
    <x v="154"/>
    <s v="AVINASH"/>
    <x v="1"/>
    <x v="3"/>
    <x v="4"/>
    <s v="FEMALE"/>
    <n v="4"/>
    <n v="235"/>
    <n v="482"/>
    <n v="940"/>
    <n v="1928"/>
    <n v="988"/>
  </r>
  <r>
    <x v="155"/>
    <s v="RAHUL"/>
    <x v="0"/>
    <x v="20"/>
    <x v="0"/>
    <s v="MALE"/>
    <n v="9"/>
    <n v="258"/>
    <n v="375"/>
    <n v="2322"/>
    <n v="3375"/>
    <n v="1053"/>
  </r>
  <r>
    <x v="156"/>
    <s v="AVINASH"/>
    <x v="0"/>
    <x v="21"/>
    <x v="1"/>
    <s v="MALE"/>
    <n v="4"/>
    <n v="236"/>
    <n v="529"/>
    <n v="944"/>
    <n v="2116"/>
    <n v="1172"/>
  </r>
  <r>
    <x v="157"/>
    <s v="PRIYA"/>
    <x v="4"/>
    <x v="18"/>
    <x v="3"/>
    <s v="MALE"/>
    <n v="2"/>
    <n v="377"/>
    <n v="663"/>
    <n v="754"/>
    <n v="1326"/>
    <n v="572"/>
  </r>
  <r>
    <x v="158"/>
    <s v="AVINASH"/>
    <x v="3"/>
    <x v="11"/>
    <x v="0"/>
    <s v="MALE"/>
    <n v="5"/>
    <n v="388"/>
    <n v="608"/>
    <n v="1940"/>
    <n v="3040"/>
    <n v="1100"/>
  </r>
  <r>
    <x v="159"/>
    <s v="PRIYA"/>
    <x v="1"/>
    <x v="3"/>
    <x v="3"/>
    <s v="MALE"/>
    <n v="4"/>
    <n v="369"/>
    <n v="650"/>
    <n v="1476"/>
    <n v="2600"/>
    <n v="1124"/>
  </r>
  <r>
    <x v="160"/>
    <s v="AVINASH"/>
    <x v="4"/>
    <x v="13"/>
    <x v="0"/>
    <s v="FEMALE"/>
    <n v="3"/>
    <n v="172"/>
    <n v="279"/>
    <n v="516"/>
    <n v="837"/>
    <n v="321"/>
  </r>
  <r>
    <x v="161"/>
    <s v="AVINASH"/>
    <x v="0"/>
    <x v="21"/>
    <x v="0"/>
    <s v="MALE"/>
    <n v="4"/>
    <n v="437"/>
    <n v="574"/>
    <n v="1748"/>
    <n v="2296"/>
    <n v="548"/>
  </r>
  <r>
    <x v="162"/>
    <s v="PRIYA"/>
    <x v="2"/>
    <x v="17"/>
    <x v="3"/>
    <s v="MALE"/>
    <n v="7"/>
    <n v="468"/>
    <n v="631"/>
    <n v="3276"/>
    <n v="4417"/>
    <n v="1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5:F21" firstHeaderRow="1" firstDataRow="1" firstDataCol="1"/>
  <pivotFields count="14">
    <pivotField numFmtId="15" showAll="0">
      <items count="164">
        <item x="0"/>
        <item x="72"/>
        <item x="108"/>
        <item x="36"/>
        <item x="135"/>
        <item x="73"/>
        <item x="1"/>
        <item x="109"/>
        <item x="37"/>
        <item x="136"/>
        <item x="74"/>
        <item x="2"/>
        <item x="110"/>
        <item x="38"/>
        <item x="3"/>
        <item x="111"/>
        <item x="75"/>
        <item x="39"/>
        <item x="4"/>
        <item x="137"/>
        <item x="112"/>
        <item x="76"/>
        <item x="40"/>
        <item x="5"/>
        <item x="113"/>
        <item x="41"/>
        <item x="77"/>
        <item x="42"/>
        <item x="114"/>
        <item x="78"/>
        <item x="6"/>
        <item x="43"/>
        <item x="115"/>
        <item x="79"/>
        <item x="7"/>
        <item x="44"/>
        <item x="80"/>
        <item x="8"/>
        <item x="116"/>
        <item x="45"/>
        <item x="81"/>
        <item x="9"/>
        <item x="117"/>
        <item x="10"/>
        <item x="146"/>
        <item x="82"/>
        <item x="46"/>
        <item x="118"/>
        <item x="11"/>
        <item x="119"/>
        <item x="83"/>
        <item x="47"/>
        <item x="12"/>
        <item x="143"/>
        <item x="120"/>
        <item x="84"/>
        <item x="48"/>
        <item x="138"/>
        <item x="13"/>
        <item x="121"/>
        <item x="85"/>
        <item x="49"/>
        <item x="139"/>
        <item x="14"/>
        <item x="86"/>
        <item x="50"/>
        <item x="15"/>
        <item x="122"/>
        <item x="87"/>
        <item x="51"/>
        <item x="140"/>
        <item x="123"/>
        <item x="16"/>
        <item x="88"/>
        <item x="52"/>
        <item x="89"/>
        <item x="53"/>
        <item x="17"/>
        <item x="147"/>
        <item x="90"/>
        <item x="54"/>
        <item x="18"/>
        <item x="124"/>
        <item x="148"/>
        <item x="91"/>
        <item x="19"/>
        <item x="55"/>
        <item x="125"/>
        <item x="149"/>
        <item x="126"/>
        <item x="92"/>
        <item x="56"/>
        <item x="20"/>
        <item x="150"/>
        <item x="127"/>
        <item x="93"/>
        <item x="57"/>
        <item x="21"/>
        <item x="151"/>
        <item x="128"/>
        <item x="94"/>
        <item x="58"/>
        <item x="22"/>
        <item x="152"/>
        <item x="23"/>
        <item x="95"/>
        <item x="59"/>
        <item x="153"/>
        <item x="24"/>
        <item x="96"/>
        <item x="60"/>
        <item x="141"/>
        <item x="154"/>
        <item x="25"/>
        <item x="97"/>
        <item x="61"/>
        <item x="142"/>
        <item x="155"/>
        <item x="129"/>
        <item x="26"/>
        <item x="98"/>
        <item x="62"/>
        <item x="156"/>
        <item x="144"/>
        <item x="27"/>
        <item x="99"/>
        <item x="63"/>
        <item x="157"/>
        <item x="145"/>
        <item x="28"/>
        <item x="100"/>
        <item x="64"/>
        <item x="158"/>
        <item x="130"/>
        <item x="101"/>
        <item x="29"/>
        <item x="65"/>
        <item x="159"/>
        <item x="131"/>
        <item x="102"/>
        <item x="30"/>
        <item x="66"/>
        <item x="160"/>
        <item x="132"/>
        <item x="103"/>
        <item x="31"/>
        <item x="67"/>
        <item x="161"/>
        <item x="133"/>
        <item x="104"/>
        <item x="32"/>
        <item x="68"/>
        <item x="162"/>
        <item x="33"/>
        <item x="105"/>
        <item x="69"/>
        <item x="34"/>
        <item x="106"/>
        <item x="70"/>
        <item x="35"/>
        <item x="134"/>
        <item x="107"/>
        <item x="71"/>
        <item t="default"/>
      </items>
    </pivotField>
    <pivotField showAll="0"/>
    <pivotField axis="axisRow" showAll="0">
      <items count="6">
        <item x="0"/>
        <item x="4"/>
        <item x="3"/>
        <item x="2"/>
        <item x="1"/>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URCHASE COST" fld="9"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21" firstHeaderRow="1" firstDataRow="1" firstDataCol="1"/>
  <pivotFields count="14">
    <pivotField numFmtId="15" showAll="0">
      <items count="164">
        <item x="0"/>
        <item x="72"/>
        <item x="108"/>
        <item x="36"/>
        <item x="135"/>
        <item x="73"/>
        <item x="1"/>
        <item x="109"/>
        <item x="37"/>
        <item x="136"/>
        <item x="74"/>
        <item x="2"/>
        <item x="110"/>
        <item x="38"/>
        <item x="3"/>
        <item x="111"/>
        <item x="75"/>
        <item x="39"/>
        <item x="4"/>
        <item x="137"/>
        <item x="112"/>
        <item x="76"/>
        <item x="40"/>
        <item x="5"/>
        <item x="113"/>
        <item x="41"/>
        <item x="77"/>
        <item x="42"/>
        <item x="114"/>
        <item x="78"/>
        <item x="6"/>
        <item x="43"/>
        <item x="115"/>
        <item x="79"/>
        <item x="7"/>
        <item x="44"/>
        <item x="80"/>
        <item x="8"/>
        <item x="116"/>
        <item x="45"/>
        <item x="81"/>
        <item x="9"/>
        <item x="117"/>
        <item x="10"/>
        <item x="146"/>
        <item x="82"/>
        <item x="46"/>
        <item x="118"/>
        <item x="11"/>
        <item x="119"/>
        <item x="83"/>
        <item x="47"/>
        <item x="12"/>
        <item x="143"/>
        <item x="120"/>
        <item x="84"/>
        <item x="48"/>
        <item x="138"/>
        <item x="13"/>
        <item x="121"/>
        <item x="85"/>
        <item x="49"/>
        <item x="139"/>
        <item x="14"/>
        <item x="86"/>
        <item x="50"/>
        <item x="15"/>
        <item x="122"/>
        <item x="87"/>
        <item x="51"/>
        <item x="140"/>
        <item x="123"/>
        <item x="16"/>
        <item x="88"/>
        <item x="52"/>
        <item x="89"/>
        <item x="53"/>
        <item x="17"/>
        <item x="147"/>
        <item x="90"/>
        <item x="54"/>
        <item x="18"/>
        <item x="124"/>
        <item x="148"/>
        <item x="91"/>
        <item x="19"/>
        <item x="55"/>
        <item x="125"/>
        <item x="149"/>
        <item x="126"/>
        <item x="92"/>
        <item x="56"/>
        <item x="20"/>
        <item x="150"/>
        <item x="127"/>
        <item x="93"/>
        <item x="57"/>
        <item x="21"/>
        <item x="151"/>
        <item x="128"/>
        <item x="94"/>
        <item x="58"/>
        <item x="22"/>
        <item x="152"/>
        <item x="23"/>
        <item x="95"/>
        <item x="59"/>
        <item x="153"/>
        <item x="24"/>
        <item x="96"/>
        <item x="60"/>
        <item x="141"/>
        <item x="154"/>
        <item x="25"/>
        <item x="97"/>
        <item x="61"/>
        <item x="142"/>
        <item x="155"/>
        <item x="129"/>
        <item x="26"/>
        <item x="98"/>
        <item x="62"/>
        <item x="156"/>
        <item x="144"/>
        <item x="27"/>
        <item x="99"/>
        <item x="63"/>
        <item x="157"/>
        <item x="145"/>
        <item x="28"/>
        <item x="100"/>
        <item x="64"/>
        <item x="158"/>
        <item x="130"/>
        <item x="101"/>
        <item x="29"/>
        <item x="65"/>
        <item x="159"/>
        <item x="131"/>
        <item x="102"/>
        <item x="30"/>
        <item x="66"/>
        <item x="160"/>
        <item x="132"/>
        <item x="103"/>
        <item x="31"/>
        <item x="67"/>
        <item x="161"/>
        <item x="133"/>
        <item x="104"/>
        <item x="32"/>
        <item x="68"/>
        <item x="162"/>
        <item x="33"/>
        <item x="105"/>
        <item x="69"/>
        <item x="34"/>
        <item x="106"/>
        <item x="70"/>
        <item x="35"/>
        <item x="134"/>
        <item x="107"/>
        <item x="71"/>
        <item t="default"/>
      </items>
    </pivotField>
    <pivotField showAll="0"/>
    <pivotField axis="axisRow" showAll="0">
      <items count="6">
        <item x="0"/>
        <item x="4"/>
        <item x="3"/>
        <item x="2"/>
        <item x="1"/>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PRICE" fld="10"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15:Y21" firstHeaderRow="0" firstDataRow="1" firstDataCol="1"/>
  <pivotFields count="14">
    <pivotField numFmtId="15" showAll="0">
      <items count="164">
        <item x="0"/>
        <item x="72"/>
        <item x="108"/>
        <item x="36"/>
        <item x="135"/>
        <item x="73"/>
        <item x="1"/>
        <item x="109"/>
        <item x="37"/>
        <item x="136"/>
        <item x="74"/>
        <item x="2"/>
        <item x="110"/>
        <item x="38"/>
        <item x="3"/>
        <item x="111"/>
        <item x="75"/>
        <item x="39"/>
        <item x="4"/>
        <item x="137"/>
        <item x="112"/>
        <item x="76"/>
        <item x="40"/>
        <item x="5"/>
        <item x="113"/>
        <item x="41"/>
        <item x="77"/>
        <item x="42"/>
        <item x="114"/>
        <item x="78"/>
        <item x="6"/>
        <item x="43"/>
        <item x="115"/>
        <item x="79"/>
        <item x="7"/>
        <item x="44"/>
        <item x="80"/>
        <item x="8"/>
        <item x="116"/>
        <item x="45"/>
        <item x="81"/>
        <item x="9"/>
        <item x="117"/>
        <item x="10"/>
        <item x="146"/>
        <item x="82"/>
        <item x="46"/>
        <item x="118"/>
        <item x="11"/>
        <item x="119"/>
        <item x="83"/>
        <item x="47"/>
        <item x="12"/>
        <item x="143"/>
        <item x="120"/>
        <item x="84"/>
        <item x="48"/>
        <item x="138"/>
        <item x="13"/>
        <item x="121"/>
        <item x="85"/>
        <item x="49"/>
        <item x="139"/>
        <item x="14"/>
        <item x="86"/>
        <item x="50"/>
        <item x="15"/>
        <item x="122"/>
        <item x="87"/>
        <item x="51"/>
        <item x="140"/>
        <item x="123"/>
        <item x="16"/>
        <item x="88"/>
        <item x="52"/>
        <item x="89"/>
        <item x="53"/>
        <item x="17"/>
        <item x="147"/>
        <item x="90"/>
        <item x="54"/>
        <item x="18"/>
        <item x="124"/>
        <item x="148"/>
        <item x="91"/>
        <item x="19"/>
        <item x="55"/>
        <item x="125"/>
        <item x="149"/>
        <item x="126"/>
        <item x="92"/>
        <item x="56"/>
        <item x="20"/>
        <item x="150"/>
        <item x="127"/>
        <item x="93"/>
        <item x="57"/>
        <item x="21"/>
        <item x="151"/>
        <item x="128"/>
        <item x="94"/>
        <item x="58"/>
        <item x="22"/>
        <item x="152"/>
        <item x="23"/>
        <item x="95"/>
        <item x="59"/>
        <item x="153"/>
        <item x="24"/>
        <item x="96"/>
        <item x="60"/>
        <item x="141"/>
        <item x="154"/>
        <item x="25"/>
        <item x="97"/>
        <item x="61"/>
        <item x="142"/>
        <item x="155"/>
        <item x="129"/>
        <item x="26"/>
        <item x="98"/>
        <item x="62"/>
        <item x="156"/>
        <item x="144"/>
        <item x="27"/>
        <item x="99"/>
        <item x="63"/>
        <item x="157"/>
        <item x="145"/>
        <item x="28"/>
        <item x="100"/>
        <item x="64"/>
        <item x="158"/>
        <item x="130"/>
        <item x="101"/>
        <item x="29"/>
        <item x="65"/>
        <item x="159"/>
        <item x="131"/>
        <item x="102"/>
        <item x="30"/>
        <item x="66"/>
        <item x="160"/>
        <item x="132"/>
        <item x="103"/>
        <item x="31"/>
        <item x="67"/>
        <item x="161"/>
        <item x="133"/>
        <item x="104"/>
        <item x="32"/>
        <item x="68"/>
        <item x="162"/>
        <item x="33"/>
        <item x="105"/>
        <item x="69"/>
        <item x="34"/>
        <item x="106"/>
        <item x="70"/>
        <item x="35"/>
        <item x="134"/>
        <item x="107"/>
        <item x="71"/>
        <item t="default"/>
      </items>
    </pivotField>
    <pivotField showAll="0"/>
    <pivotField showAll="0">
      <items count="6">
        <item x="0"/>
        <item x="4"/>
        <item x="3"/>
        <item x="2"/>
        <item x="1"/>
        <item t="default"/>
      </items>
    </pivotField>
    <pivotField showAll="0"/>
    <pivotField axis="axisRow" showAll="0">
      <items count="6">
        <item x="4"/>
        <item x="3"/>
        <item x="2"/>
        <item x="0"/>
        <item x="1"/>
        <item t="default"/>
      </items>
    </pivotField>
    <pivotField showAll="0"/>
    <pivotField showAll="0"/>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SALES PRICE" fld="10" baseField="0" baseItem="0"/>
    <dataField name="Sum of PROFIT" fld="11" showDataAs="percentOfTotal" baseField="0" baseItem="0" numFmtId="10"/>
  </dataFields>
  <chartFormats count="11">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2" format="5">
      <pivotArea type="data" outline="0" fieldPosition="0">
        <references count="2">
          <reference field="4294967294" count="1" selected="0">
            <x v="1"/>
          </reference>
          <reference field="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5:T41" firstHeaderRow="0" firstDataRow="1" firstDataCol="1"/>
  <pivotFields count="14">
    <pivotField numFmtId="15" showAll="0">
      <items count="164">
        <item x="0"/>
        <item x="72"/>
        <item x="108"/>
        <item x="36"/>
        <item x="135"/>
        <item x="73"/>
        <item x="1"/>
        <item x="109"/>
        <item x="37"/>
        <item x="136"/>
        <item x="74"/>
        <item x="2"/>
        <item x="110"/>
        <item x="38"/>
        <item x="3"/>
        <item x="111"/>
        <item x="75"/>
        <item x="39"/>
        <item x="4"/>
        <item x="137"/>
        <item x="112"/>
        <item x="76"/>
        <item x="40"/>
        <item x="5"/>
        <item x="113"/>
        <item x="41"/>
        <item x="77"/>
        <item x="42"/>
        <item x="114"/>
        <item x="78"/>
        <item x="6"/>
        <item x="43"/>
        <item x="115"/>
        <item x="79"/>
        <item x="7"/>
        <item x="44"/>
        <item x="80"/>
        <item x="8"/>
        <item x="116"/>
        <item x="45"/>
        <item x="81"/>
        <item x="9"/>
        <item x="117"/>
        <item x="10"/>
        <item x="146"/>
        <item x="82"/>
        <item x="46"/>
        <item x="118"/>
        <item x="11"/>
        <item x="119"/>
        <item x="83"/>
        <item x="47"/>
        <item x="12"/>
        <item x="143"/>
        <item x="120"/>
        <item x="84"/>
        <item x="48"/>
        <item x="138"/>
        <item x="13"/>
        <item x="121"/>
        <item x="85"/>
        <item x="49"/>
        <item x="139"/>
        <item x="14"/>
        <item x="86"/>
        <item x="50"/>
        <item x="15"/>
        <item x="122"/>
        <item x="87"/>
        <item x="51"/>
        <item x="140"/>
        <item x="123"/>
        <item x="16"/>
        <item x="88"/>
        <item x="52"/>
        <item x="89"/>
        <item x="53"/>
        <item x="17"/>
        <item x="147"/>
        <item x="90"/>
        <item x="54"/>
        <item x="18"/>
        <item x="124"/>
        <item x="148"/>
        <item x="91"/>
        <item x="19"/>
        <item x="55"/>
        <item x="125"/>
        <item x="149"/>
        <item x="126"/>
        <item x="92"/>
        <item x="56"/>
        <item x="20"/>
        <item x="150"/>
        <item x="127"/>
        <item x="93"/>
        <item x="57"/>
        <item x="21"/>
        <item x="151"/>
        <item x="128"/>
        <item x="94"/>
        <item x="58"/>
        <item x="22"/>
        <item x="152"/>
        <item x="23"/>
        <item x="95"/>
        <item x="59"/>
        <item x="153"/>
        <item x="24"/>
        <item x="96"/>
        <item x="60"/>
        <item x="141"/>
        <item x="154"/>
        <item x="25"/>
        <item x="97"/>
        <item x="61"/>
        <item x="142"/>
        <item x="155"/>
        <item x="129"/>
        <item x="26"/>
        <item x="98"/>
        <item x="62"/>
        <item x="156"/>
        <item x="144"/>
        <item x="27"/>
        <item x="99"/>
        <item x="63"/>
        <item x="157"/>
        <item x="145"/>
        <item x="28"/>
        <item x="100"/>
        <item x="64"/>
        <item x="158"/>
        <item x="130"/>
        <item x="101"/>
        <item x="29"/>
        <item x="65"/>
        <item x="159"/>
        <item x="131"/>
        <item x="102"/>
        <item x="30"/>
        <item x="66"/>
        <item x="160"/>
        <item x="132"/>
        <item x="103"/>
        <item x="31"/>
        <item x="67"/>
        <item x="161"/>
        <item x="133"/>
        <item x="104"/>
        <item x="32"/>
        <item x="68"/>
        <item x="162"/>
        <item x="33"/>
        <item x="105"/>
        <item x="69"/>
        <item x="34"/>
        <item x="106"/>
        <item x="70"/>
        <item x="35"/>
        <item x="134"/>
        <item x="107"/>
        <item x="71"/>
        <item t="default"/>
      </items>
    </pivotField>
    <pivotField showAll="0"/>
    <pivotField showAll="0">
      <items count="6">
        <item x="0"/>
        <item x="4"/>
        <item x="3"/>
        <item x="2"/>
        <item x="1"/>
        <item t="default"/>
      </items>
    </pivotField>
    <pivotField axis="axisRow" showAll="0">
      <items count="26">
        <item x="17"/>
        <item x="13"/>
        <item x="22"/>
        <item x="0"/>
        <item x="23"/>
        <item x="20"/>
        <item x="15"/>
        <item x="11"/>
        <item x="9"/>
        <item x="7"/>
        <item x="12"/>
        <item x="21"/>
        <item x="18"/>
        <item x="16"/>
        <item x="6"/>
        <item x="2"/>
        <item x="8"/>
        <item x="5"/>
        <item x="19"/>
        <item x="3"/>
        <item x="10"/>
        <item x="4"/>
        <item x="14"/>
        <item x="24"/>
        <item x="1"/>
        <item t="default"/>
      </items>
    </pivotField>
    <pivotField showAll="0"/>
    <pivotField showAll="0"/>
    <pivotField showAll="0"/>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ALES PRICE" fld="10" baseField="3" baseItem="0"/>
    <dataField name="Sum of PROFIT" fld="11"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5:O28" firstHeaderRow="0" firstDataRow="1" firstDataCol="1"/>
  <pivotFields count="14">
    <pivotField axis="axisRow" numFmtId="15" showAll="0">
      <items count="164">
        <item x="0"/>
        <item x="72"/>
        <item x="108"/>
        <item x="36"/>
        <item x="135"/>
        <item x="73"/>
        <item x="1"/>
        <item x="109"/>
        <item x="37"/>
        <item x="136"/>
        <item x="74"/>
        <item x="2"/>
        <item x="110"/>
        <item x="38"/>
        <item x="3"/>
        <item x="111"/>
        <item x="75"/>
        <item x="39"/>
        <item x="4"/>
        <item x="137"/>
        <item x="112"/>
        <item x="76"/>
        <item x="40"/>
        <item x="5"/>
        <item x="113"/>
        <item x="41"/>
        <item x="77"/>
        <item x="42"/>
        <item x="114"/>
        <item x="78"/>
        <item x="6"/>
        <item x="43"/>
        <item x="115"/>
        <item x="79"/>
        <item x="7"/>
        <item x="44"/>
        <item x="80"/>
        <item x="8"/>
        <item x="116"/>
        <item x="45"/>
        <item x="81"/>
        <item x="9"/>
        <item x="117"/>
        <item x="10"/>
        <item x="146"/>
        <item x="82"/>
        <item x="46"/>
        <item x="118"/>
        <item x="11"/>
        <item x="119"/>
        <item x="83"/>
        <item x="47"/>
        <item x="12"/>
        <item x="143"/>
        <item x="120"/>
        <item x="84"/>
        <item x="48"/>
        <item x="138"/>
        <item x="13"/>
        <item x="121"/>
        <item x="85"/>
        <item x="49"/>
        <item x="139"/>
        <item x="14"/>
        <item x="86"/>
        <item x="50"/>
        <item x="15"/>
        <item x="122"/>
        <item x="87"/>
        <item x="51"/>
        <item x="140"/>
        <item x="123"/>
        <item x="16"/>
        <item x="88"/>
        <item x="52"/>
        <item x="89"/>
        <item x="53"/>
        <item x="17"/>
        <item x="147"/>
        <item x="90"/>
        <item x="54"/>
        <item x="18"/>
        <item x="124"/>
        <item x="148"/>
        <item x="91"/>
        <item x="19"/>
        <item x="55"/>
        <item x="125"/>
        <item x="149"/>
        <item x="126"/>
        <item x="92"/>
        <item x="56"/>
        <item x="20"/>
        <item x="150"/>
        <item x="127"/>
        <item x="93"/>
        <item x="57"/>
        <item x="21"/>
        <item x="151"/>
        <item x="128"/>
        <item x="94"/>
        <item x="58"/>
        <item x="22"/>
        <item x="152"/>
        <item x="23"/>
        <item x="95"/>
        <item x="59"/>
        <item x="153"/>
        <item x="24"/>
        <item x="96"/>
        <item x="60"/>
        <item x="141"/>
        <item x="154"/>
        <item x="25"/>
        <item x="97"/>
        <item x="61"/>
        <item x="142"/>
        <item x="155"/>
        <item x="129"/>
        <item x="26"/>
        <item x="98"/>
        <item x="62"/>
        <item x="156"/>
        <item x="144"/>
        <item x="27"/>
        <item x="99"/>
        <item x="63"/>
        <item x="157"/>
        <item x="145"/>
        <item x="28"/>
        <item x="100"/>
        <item x="64"/>
        <item x="158"/>
        <item x="130"/>
        <item x="101"/>
        <item x="29"/>
        <item x="65"/>
        <item x="159"/>
        <item x="131"/>
        <item x="102"/>
        <item x="30"/>
        <item x="66"/>
        <item x="160"/>
        <item x="132"/>
        <item x="103"/>
        <item x="31"/>
        <item x="67"/>
        <item x="161"/>
        <item x="133"/>
        <item x="104"/>
        <item x="32"/>
        <item x="68"/>
        <item x="162"/>
        <item x="33"/>
        <item x="105"/>
        <item x="69"/>
        <item x="34"/>
        <item x="106"/>
        <item x="70"/>
        <item x="35"/>
        <item x="134"/>
        <item x="107"/>
        <item x="71"/>
        <item t="default"/>
      </items>
    </pivotField>
    <pivotField showAll="0"/>
    <pivotField showAll="0">
      <items count="6">
        <item x="0"/>
        <item x="4"/>
        <item x="3"/>
        <item x="2"/>
        <item x="1"/>
        <item t="default"/>
      </items>
    </pivotField>
    <pivotField showAll="0"/>
    <pivotField showAll="0"/>
    <pivotField showAll="0"/>
    <pivotField showAll="0"/>
    <pivotField showAll="0"/>
    <pivotField showAll="0"/>
    <pivotField showAll="0"/>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PRICE" fld="10" baseField="0" baseItem="0"/>
    <dataField name="Sum of PROFIT" fld="11"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5:J21" firstHeaderRow="1" firstDataRow="1" firstDataCol="1"/>
  <pivotFields count="14">
    <pivotField numFmtId="15" showAll="0">
      <items count="164">
        <item x="0"/>
        <item x="72"/>
        <item x="108"/>
        <item x="36"/>
        <item x="135"/>
        <item x="73"/>
        <item x="1"/>
        <item x="109"/>
        <item x="37"/>
        <item x="136"/>
        <item x="74"/>
        <item x="2"/>
        <item x="110"/>
        <item x="38"/>
        <item x="3"/>
        <item x="111"/>
        <item x="75"/>
        <item x="39"/>
        <item x="4"/>
        <item x="137"/>
        <item x="112"/>
        <item x="76"/>
        <item x="40"/>
        <item x="5"/>
        <item x="113"/>
        <item x="41"/>
        <item x="77"/>
        <item x="42"/>
        <item x="114"/>
        <item x="78"/>
        <item x="6"/>
        <item x="43"/>
        <item x="115"/>
        <item x="79"/>
        <item x="7"/>
        <item x="44"/>
        <item x="80"/>
        <item x="8"/>
        <item x="116"/>
        <item x="45"/>
        <item x="81"/>
        <item x="9"/>
        <item x="117"/>
        <item x="10"/>
        <item x="146"/>
        <item x="82"/>
        <item x="46"/>
        <item x="118"/>
        <item x="11"/>
        <item x="119"/>
        <item x="83"/>
        <item x="47"/>
        <item x="12"/>
        <item x="143"/>
        <item x="120"/>
        <item x="84"/>
        <item x="48"/>
        <item x="138"/>
        <item x="13"/>
        <item x="121"/>
        <item x="85"/>
        <item x="49"/>
        <item x="139"/>
        <item x="14"/>
        <item x="86"/>
        <item x="50"/>
        <item x="15"/>
        <item x="122"/>
        <item x="87"/>
        <item x="51"/>
        <item x="140"/>
        <item x="123"/>
        <item x="16"/>
        <item x="88"/>
        <item x="52"/>
        <item x="89"/>
        <item x="53"/>
        <item x="17"/>
        <item x="147"/>
        <item x="90"/>
        <item x="54"/>
        <item x="18"/>
        <item x="124"/>
        <item x="148"/>
        <item x="91"/>
        <item x="19"/>
        <item x="55"/>
        <item x="125"/>
        <item x="149"/>
        <item x="126"/>
        <item x="92"/>
        <item x="56"/>
        <item x="20"/>
        <item x="150"/>
        <item x="127"/>
        <item x="93"/>
        <item x="57"/>
        <item x="21"/>
        <item x="151"/>
        <item x="128"/>
        <item x="94"/>
        <item x="58"/>
        <item x="22"/>
        <item x="152"/>
        <item x="23"/>
        <item x="95"/>
        <item x="59"/>
        <item x="153"/>
        <item x="24"/>
        <item x="96"/>
        <item x="60"/>
        <item x="141"/>
        <item x="154"/>
        <item x="25"/>
        <item x="97"/>
        <item x="61"/>
        <item x="142"/>
        <item x="155"/>
        <item x="129"/>
        <item x="26"/>
        <item x="98"/>
        <item x="62"/>
        <item x="156"/>
        <item x="144"/>
        <item x="27"/>
        <item x="99"/>
        <item x="63"/>
        <item x="157"/>
        <item x="145"/>
        <item x="28"/>
        <item x="100"/>
        <item x="64"/>
        <item x="158"/>
        <item x="130"/>
        <item x="101"/>
        <item x="29"/>
        <item x="65"/>
        <item x="159"/>
        <item x="131"/>
        <item x="102"/>
        <item x="30"/>
        <item x="66"/>
        <item x="160"/>
        <item x="132"/>
        <item x="103"/>
        <item x="31"/>
        <item x="67"/>
        <item x="161"/>
        <item x="133"/>
        <item x="104"/>
        <item x="32"/>
        <item x="68"/>
        <item x="162"/>
        <item x="33"/>
        <item x="105"/>
        <item x="69"/>
        <item x="34"/>
        <item x="106"/>
        <item x="70"/>
        <item x="35"/>
        <item x="134"/>
        <item x="107"/>
        <item x="71"/>
        <item t="default"/>
      </items>
    </pivotField>
    <pivotField showAll="0"/>
    <pivotField axis="axisRow" showAll="0">
      <items count="6">
        <item x="0"/>
        <item x="4"/>
        <item x="3"/>
        <item x="2"/>
        <item x="1"/>
        <item t="default"/>
      </items>
    </pivotField>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11"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776CAB-BA41-412C-9043-08C11D62EA91}" sourceName="CATEGORY">
  <pivotTables>
    <pivotTable tabId="7" name="TOTAL PROFIT"/>
    <pivotTable tabId="7" name="PivotTable10"/>
    <pivotTable tabId="7" name="PivotTable11"/>
    <pivotTable tabId="7" name="PivotTable12"/>
    <pivotTable tabId="7" name="TOTAL PURCHASE"/>
    <pivotTable tabId="7" name="TOTAL SALE"/>
  </pivotTables>
  <data>
    <tabular pivotCacheId="2031814155">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56E2A9A-FAA6-4B45-B089-85C5369FA03B}" cache="Slicer_CATEGORY" caption="CATEGOR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69A2C7-3862-4FF1-B140-D4B4A919FF0C}" cache="Slicer_CATEGORY" caption="CATEGORY" rowHeight="241300"/>
</slicers>
</file>

<file path=xl/tables/table1.xml><?xml version="1.0" encoding="utf-8"?>
<table xmlns="http://schemas.openxmlformats.org/spreadsheetml/2006/main" id="1" name="Table1" displayName="Table1" ref="A1:L251" totalsRowShown="0" headerRowDxfId="16" dataDxfId="14" headerRowBorderDxfId="15" tableBorderDxfId="13" totalsRowBorderDxfId="12">
  <autoFilter ref="A1:L251"/>
  <tableColumns count="12">
    <tableColumn id="1" name="DATE" dataDxfId="11"/>
    <tableColumn id="2" name="NAME" dataDxfId="10"/>
    <tableColumn id="3" name="CATEGORY" dataDxfId="9"/>
    <tableColumn id="4" name="PRODUCT NAME" dataDxfId="8"/>
    <tableColumn id="5" name="STATE" dataDxfId="7"/>
    <tableColumn id="6" name="GENDER" dataDxfId="6"/>
    <tableColumn id="7" name="QUANTITY" dataDxfId="5"/>
    <tableColumn id="8" name="COST" dataDxfId="4"/>
    <tableColumn id="9" name="PRICE" dataDxfId="3"/>
    <tableColumn id="10" name="PURCHASE COST" dataDxfId="2"/>
    <tableColumn id="11" name="SALES PRICE" dataDxfId="1"/>
    <tableColumn id="12" name="PROFIT"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dimension ref="A1:L254"/>
  <sheetViews>
    <sheetView workbookViewId="0"/>
  </sheetViews>
  <sheetFormatPr defaultRowHeight="14.4"/>
  <cols>
    <col min="1" max="1" width="14" customWidth="1"/>
    <col min="2" max="2" width="13.21875" customWidth="1"/>
    <col min="3" max="3" width="14.21875" customWidth="1"/>
    <col min="4" max="4" width="18.77734375" customWidth="1"/>
    <col min="5" max="5" width="15.44140625" customWidth="1"/>
    <col min="6" max="6" width="14.88671875" customWidth="1"/>
    <col min="7" max="7" width="14" bestFit="1" customWidth="1"/>
    <col min="8" max="8" width="13" customWidth="1"/>
    <col min="9" max="9" width="13.6640625" customWidth="1"/>
    <col min="10" max="10" width="18.5546875" customWidth="1"/>
    <col min="11" max="11" width="15.77734375" customWidth="1"/>
    <col min="12" max="12" width="11.6640625" customWidth="1"/>
  </cols>
  <sheetData>
    <row r="1" spans="1:12">
      <c r="A1" s="11" t="s">
        <v>0</v>
      </c>
      <c r="B1" s="12" t="s">
        <v>1</v>
      </c>
      <c r="C1" s="12" t="s">
        <v>2</v>
      </c>
      <c r="D1" s="12" t="s">
        <v>3</v>
      </c>
      <c r="E1" s="12" t="s">
        <v>4</v>
      </c>
      <c r="F1" s="12" t="s">
        <v>5</v>
      </c>
      <c r="G1" s="12" t="s">
        <v>6</v>
      </c>
      <c r="H1" s="12" t="s">
        <v>7</v>
      </c>
      <c r="I1" s="12" t="s">
        <v>8</v>
      </c>
      <c r="J1" s="12" t="s">
        <v>9</v>
      </c>
      <c r="K1" s="12" t="s">
        <v>10</v>
      </c>
      <c r="L1" s="13" t="s">
        <v>11</v>
      </c>
    </row>
    <row r="2" spans="1:12">
      <c r="A2" s="9">
        <v>45658</v>
      </c>
      <c r="B2" s="2" t="s">
        <v>12</v>
      </c>
      <c r="C2" s="2" t="s">
        <v>13</v>
      </c>
      <c r="D2" s="2" t="s">
        <v>14</v>
      </c>
      <c r="E2" s="2" t="s">
        <v>15</v>
      </c>
      <c r="F2" s="2" t="s">
        <v>16</v>
      </c>
      <c r="G2" s="2">
        <v>4</v>
      </c>
      <c r="H2" s="2">
        <v>327</v>
      </c>
      <c r="I2" s="2">
        <v>557</v>
      </c>
      <c r="J2" s="2">
        <v>1308</v>
      </c>
      <c r="K2" s="2">
        <v>2228</v>
      </c>
      <c r="L2" s="10">
        <v>920</v>
      </c>
    </row>
    <row r="3" spans="1:12">
      <c r="A3" s="9">
        <v>45672</v>
      </c>
      <c r="B3" s="2" t="s">
        <v>17</v>
      </c>
      <c r="C3" s="2" t="s">
        <v>18</v>
      </c>
      <c r="D3" s="2" t="s">
        <v>19</v>
      </c>
      <c r="E3" s="2" t="s">
        <v>20</v>
      </c>
      <c r="F3" s="2" t="s">
        <v>21</v>
      </c>
      <c r="G3" s="2">
        <v>8</v>
      </c>
      <c r="H3" s="2">
        <v>175</v>
      </c>
      <c r="I3" s="2">
        <v>469</v>
      </c>
      <c r="J3" s="2">
        <v>1400</v>
      </c>
      <c r="K3" s="2">
        <v>3752</v>
      </c>
      <c r="L3" s="10">
        <v>2352</v>
      </c>
    </row>
    <row r="4" spans="1:12">
      <c r="A4" s="9">
        <v>45685</v>
      </c>
      <c r="B4" s="2" t="s">
        <v>12</v>
      </c>
      <c r="C4" s="2" t="s">
        <v>18</v>
      </c>
      <c r="D4" s="2" t="s">
        <v>19</v>
      </c>
      <c r="E4" s="2" t="s">
        <v>22</v>
      </c>
      <c r="F4" s="2" t="s">
        <v>21</v>
      </c>
      <c r="G4" s="2">
        <v>4</v>
      </c>
      <c r="H4" s="2">
        <v>433</v>
      </c>
      <c r="I4" s="2">
        <v>723</v>
      </c>
      <c r="J4" s="2">
        <v>1732</v>
      </c>
      <c r="K4" s="2">
        <v>2892</v>
      </c>
      <c r="L4" s="10">
        <v>1160</v>
      </c>
    </row>
    <row r="5" spans="1:12">
      <c r="A5" s="9">
        <v>45691</v>
      </c>
      <c r="B5" s="2" t="s">
        <v>17</v>
      </c>
      <c r="C5" s="2" t="s">
        <v>18</v>
      </c>
      <c r="D5" s="2" t="s">
        <v>23</v>
      </c>
      <c r="E5" s="2" t="s">
        <v>20</v>
      </c>
      <c r="F5" s="2" t="s">
        <v>21</v>
      </c>
      <c r="G5" s="2">
        <v>9</v>
      </c>
      <c r="H5" s="2">
        <v>261</v>
      </c>
      <c r="I5" s="2">
        <v>448</v>
      </c>
      <c r="J5" s="2">
        <v>2349</v>
      </c>
      <c r="K5" s="2">
        <v>4032</v>
      </c>
      <c r="L5" s="10">
        <v>1683</v>
      </c>
    </row>
    <row r="6" spans="1:12">
      <c r="A6" s="9">
        <v>45700</v>
      </c>
      <c r="B6" s="2" t="s">
        <v>12</v>
      </c>
      <c r="C6" s="2" t="s">
        <v>18</v>
      </c>
      <c r="D6" s="2" t="s">
        <v>23</v>
      </c>
      <c r="E6" s="2" t="s">
        <v>20</v>
      </c>
      <c r="F6" s="2" t="s">
        <v>16</v>
      </c>
      <c r="G6" s="2">
        <v>4</v>
      </c>
      <c r="H6" s="2">
        <v>290</v>
      </c>
      <c r="I6" s="2">
        <v>500</v>
      </c>
      <c r="J6" s="2">
        <v>1160</v>
      </c>
      <c r="K6" s="2">
        <v>2000</v>
      </c>
      <c r="L6" s="10">
        <v>840</v>
      </c>
    </row>
    <row r="7" spans="1:12">
      <c r="A7" s="9">
        <v>45713</v>
      </c>
      <c r="B7" s="2" t="s">
        <v>24</v>
      </c>
      <c r="C7" s="2" t="s">
        <v>18</v>
      </c>
      <c r="D7" s="2" t="s">
        <v>25</v>
      </c>
      <c r="E7" s="2" t="s">
        <v>22</v>
      </c>
      <c r="F7" s="2" t="s">
        <v>21</v>
      </c>
      <c r="G7" s="2">
        <v>7</v>
      </c>
      <c r="H7" s="2">
        <v>276</v>
      </c>
      <c r="I7" s="2">
        <v>354</v>
      </c>
      <c r="J7" s="2">
        <v>1932</v>
      </c>
      <c r="K7" s="2">
        <v>2478</v>
      </c>
      <c r="L7" s="10">
        <v>546</v>
      </c>
    </row>
    <row r="8" spans="1:12">
      <c r="A8" s="9">
        <v>45723</v>
      </c>
      <c r="B8" s="2" t="s">
        <v>12</v>
      </c>
      <c r="C8" s="2" t="s">
        <v>18</v>
      </c>
      <c r="D8" s="2" t="s">
        <v>25</v>
      </c>
      <c r="E8" s="2" t="s">
        <v>26</v>
      </c>
      <c r="F8" s="2" t="s">
        <v>16</v>
      </c>
      <c r="G8" s="2">
        <v>4</v>
      </c>
      <c r="H8" s="2">
        <v>256</v>
      </c>
      <c r="I8" s="2">
        <v>374</v>
      </c>
      <c r="J8" s="2">
        <v>1024</v>
      </c>
      <c r="K8" s="2">
        <v>1496</v>
      </c>
      <c r="L8" s="10">
        <v>472</v>
      </c>
    </row>
    <row r="9" spans="1:12">
      <c r="A9" s="9">
        <v>45735</v>
      </c>
      <c r="B9" s="2" t="s">
        <v>27</v>
      </c>
      <c r="C9" s="2" t="s">
        <v>28</v>
      </c>
      <c r="D9" s="2" t="s">
        <v>29</v>
      </c>
      <c r="E9" s="2" t="s">
        <v>22</v>
      </c>
      <c r="F9" s="2" t="s">
        <v>16</v>
      </c>
      <c r="G9" s="2">
        <v>6</v>
      </c>
      <c r="H9" s="2">
        <v>238</v>
      </c>
      <c r="I9" s="2">
        <v>480</v>
      </c>
      <c r="J9" s="2">
        <v>1428</v>
      </c>
      <c r="K9" s="2">
        <v>2880</v>
      </c>
      <c r="L9" s="10">
        <v>1452</v>
      </c>
    </row>
    <row r="10" spans="1:12">
      <c r="A10" s="9">
        <v>45746</v>
      </c>
      <c r="B10" s="2" t="s">
        <v>24</v>
      </c>
      <c r="C10" s="2" t="s">
        <v>13</v>
      </c>
      <c r="D10" s="2" t="s">
        <v>14</v>
      </c>
      <c r="E10" s="2" t="s">
        <v>20</v>
      </c>
      <c r="F10" s="2" t="s">
        <v>16</v>
      </c>
      <c r="G10" s="2">
        <v>7</v>
      </c>
      <c r="H10" s="2">
        <v>204</v>
      </c>
      <c r="I10" s="2">
        <v>265</v>
      </c>
      <c r="J10" s="2">
        <v>1428</v>
      </c>
      <c r="K10" s="2">
        <v>1855</v>
      </c>
      <c r="L10" s="10">
        <v>427</v>
      </c>
    </row>
    <row r="11" spans="1:12">
      <c r="A11" s="9">
        <v>45752</v>
      </c>
      <c r="B11" s="2" t="s">
        <v>30</v>
      </c>
      <c r="C11" s="2" t="s">
        <v>18</v>
      </c>
      <c r="D11" s="2" t="s">
        <v>25</v>
      </c>
      <c r="E11" s="2" t="s">
        <v>31</v>
      </c>
      <c r="F11" s="2" t="s">
        <v>16</v>
      </c>
      <c r="G11" s="2">
        <v>10</v>
      </c>
      <c r="H11" s="2">
        <v>328</v>
      </c>
      <c r="I11" s="2">
        <v>611</v>
      </c>
      <c r="J11" s="2">
        <v>3280</v>
      </c>
      <c r="K11" s="2">
        <v>6110</v>
      </c>
      <c r="L11" s="10">
        <v>2830</v>
      </c>
    </row>
    <row r="12" spans="1:12">
      <c r="A12" s="9">
        <v>45761</v>
      </c>
      <c r="B12" s="2" t="s">
        <v>32</v>
      </c>
      <c r="C12" s="2" t="s">
        <v>33</v>
      </c>
      <c r="D12" s="2" t="s">
        <v>34</v>
      </c>
      <c r="E12" s="2" t="s">
        <v>31</v>
      </c>
      <c r="F12" s="2" t="s">
        <v>16</v>
      </c>
      <c r="G12" s="2">
        <v>5</v>
      </c>
      <c r="H12" s="2">
        <v>428</v>
      </c>
      <c r="I12" s="2">
        <v>548</v>
      </c>
      <c r="J12" s="2">
        <v>2140</v>
      </c>
      <c r="K12" s="2">
        <v>2740</v>
      </c>
      <c r="L12" s="10">
        <v>600</v>
      </c>
    </row>
    <row r="13" spans="1:12">
      <c r="A13" s="9">
        <v>45774</v>
      </c>
      <c r="B13" s="2" t="s">
        <v>32</v>
      </c>
      <c r="C13" s="2" t="s">
        <v>18</v>
      </c>
      <c r="D13" s="2" t="s">
        <v>23</v>
      </c>
      <c r="E13" s="2" t="s">
        <v>15</v>
      </c>
      <c r="F13" s="2" t="s">
        <v>21</v>
      </c>
      <c r="G13" s="2">
        <v>7</v>
      </c>
      <c r="H13" s="2">
        <v>326</v>
      </c>
      <c r="I13" s="2">
        <v>465</v>
      </c>
      <c r="J13" s="2">
        <v>2282</v>
      </c>
      <c r="K13" s="2">
        <v>3255</v>
      </c>
      <c r="L13" s="10">
        <v>973</v>
      </c>
    </row>
    <row r="14" spans="1:12">
      <c r="A14" s="9">
        <v>45779</v>
      </c>
      <c r="B14" s="2" t="s">
        <v>27</v>
      </c>
      <c r="C14" s="2" t="s">
        <v>13</v>
      </c>
      <c r="D14" s="2" t="s">
        <v>35</v>
      </c>
      <c r="E14" s="2" t="s">
        <v>26</v>
      </c>
      <c r="F14" s="2" t="s">
        <v>16</v>
      </c>
      <c r="G14" s="2">
        <v>3</v>
      </c>
      <c r="H14" s="2">
        <v>161</v>
      </c>
      <c r="I14" s="2">
        <v>279</v>
      </c>
      <c r="J14" s="2">
        <v>483</v>
      </c>
      <c r="K14" s="2">
        <v>837</v>
      </c>
      <c r="L14" s="10">
        <v>354</v>
      </c>
    </row>
    <row r="15" spans="1:12">
      <c r="A15" s="9">
        <v>45793</v>
      </c>
      <c r="B15" s="2" t="s">
        <v>32</v>
      </c>
      <c r="C15" s="2" t="s">
        <v>36</v>
      </c>
      <c r="D15" s="2" t="s">
        <v>37</v>
      </c>
      <c r="E15" s="2" t="s">
        <v>15</v>
      </c>
      <c r="F15" s="2" t="s">
        <v>21</v>
      </c>
      <c r="G15" s="2">
        <v>10</v>
      </c>
      <c r="H15" s="2">
        <v>180</v>
      </c>
      <c r="I15" s="2">
        <v>256</v>
      </c>
      <c r="J15" s="2">
        <v>1800</v>
      </c>
      <c r="K15" s="2">
        <v>2560</v>
      </c>
      <c r="L15" s="10">
        <v>760</v>
      </c>
    </row>
    <row r="16" spans="1:12">
      <c r="A16" s="9">
        <v>45806</v>
      </c>
      <c r="B16" s="2" t="s">
        <v>17</v>
      </c>
      <c r="C16" s="2" t="s">
        <v>36</v>
      </c>
      <c r="D16" s="2" t="s">
        <v>37</v>
      </c>
      <c r="E16" s="2" t="s">
        <v>26</v>
      </c>
      <c r="F16" s="2" t="s">
        <v>21</v>
      </c>
      <c r="G16" s="2">
        <v>4</v>
      </c>
      <c r="H16" s="2">
        <v>164</v>
      </c>
      <c r="I16" s="2">
        <v>325</v>
      </c>
      <c r="J16" s="2">
        <v>656</v>
      </c>
      <c r="K16" s="2">
        <v>1300</v>
      </c>
      <c r="L16" s="10">
        <v>644</v>
      </c>
    </row>
    <row r="17" spans="1:12">
      <c r="A17" s="9">
        <v>45812</v>
      </c>
      <c r="B17" s="2" t="s">
        <v>38</v>
      </c>
      <c r="C17" s="2" t="s">
        <v>33</v>
      </c>
      <c r="D17" s="2" t="s">
        <v>39</v>
      </c>
      <c r="E17" s="2" t="s">
        <v>26</v>
      </c>
      <c r="F17" s="2" t="s">
        <v>21</v>
      </c>
      <c r="G17" s="2">
        <v>3</v>
      </c>
      <c r="H17" s="2">
        <v>216</v>
      </c>
      <c r="I17" s="2">
        <v>370</v>
      </c>
      <c r="J17" s="2">
        <v>648</v>
      </c>
      <c r="K17" s="2">
        <v>1110</v>
      </c>
      <c r="L17" s="10">
        <v>462</v>
      </c>
    </row>
    <row r="18" spans="1:12">
      <c r="A18" s="9">
        <v>45826</v>
      </c>
      <c r="B18" s="2" t="s">
        <v>24</v>
      </c>
      <c r="C18" s="2" t="s">
        <v>33</v>
      </c>
      <c r="D18" s="2" t="s">
        <v>34</v>
      </c>
      <c r="E18" s="2" t="s">
        <v>15</v>
      </c>
      <c r="F18" s="2" t="s">
        <v>16</v>
      </c>
      <c r="G18" s="2">
        <v>6</v>
      </c>
      <c r="H18" s="2">
        <v>483</v>
      </c>
      <c r="I18" s="2">
        <v>725</v>
      </c>
      <c r="J18" s="2">
        <v>2898</v>
      </c>
      <c r="K18" s="2">
        <v>4350</v>
      </c>
      <c r="L18" s="10">
        <v>1452</v>
      </c>
    </row>
    <row r="19" spans="1:12">
      <c r="A19" s="9">
        <v>45838</v>
      </c>
      <c r="B19" s="2" t="s">
        <v>27</v>
      </c>
      <c r="C19" s="2" t="s">
        <v>33</v>
      </c>
      <c r="D19" s="2" t="s">
        <v>40</v>
      </c>
      <c r="E19" s="2" t="s">
        <v>15</v>
      </c>
      <c r="F19" s="2" t="s">
        <v>16</v>
      </c>
      <c r="G19" s="2">
        <v>1</v>
      </c>
      <c r="H19" s="2">
        <v>378</v>
      </c>
      <c r="I19" s="2">
        <v>459</v>
      </c>
      <c r="J19" s="2">
        <v>378</v>
      </c>
      <c r="K19" s="2">
        <v>459</v>
      </c>
      <c r="L19" s="10">
        <v>81</v>
      </c>
    </row>
    <row r="20" spans="1:12">
      <c r="A20" s="9">
        <v>45844</v>
      </c>
      <c r="B20" s="2" t="s">
        <v>38</v>
      </c>
      <c r="C20" s="2" t="s">
        <v>18</v>
      </c>
      <c r="D20" s="2" t="s">
        <v>41</v>
      </c>
      <c r="E20" s="2" t="s">
        <v>31</v>
      </c>
      <c r="F20" s="2" t="s">
        <v>21</v>
      </c>
      <c r="G20" s="2">
        <v>7</v>
      </c>
      <c r="H20" s="2">
        <v>275</v>
      </c>
      <c r="I20" s="2">
        <v>556</v>
      </c>
      <c r="J20" s="2">
        <v>1925</v>
      </c>
      <c r="K20" s="2">
        <v>3892</v>
      </c>
      <c r="L20" s="10">
        <v>1967</v>
      </c>
    </row>
    <row r="21" spans="1:12">
      <c r="A21" s="9">
        <v>45855</v>
      </c>
      <c r="B21" s="2" t="s">
        <v>32</v>
      </c>
      <c r="C21" s="2" t="s">
        <v>13</v>
      </c>
      <c r="D21" s="2" t="s">
        <v>35</v>
      </c>
      <c r="E21" s="2" t="s">
        <v>20</v>
      </c>
      <c r="F21" s="2" t="s">
        <v>16</v>
      </c>
      <c r="G21" s="2">
        <v>6</v>
      </c>
      <c r="H21" s="2">
        <v>108</v>
      </c>
      <c r="I21" s="2">
        <v>285</v>
      </c>
      <c r="J21" s="2">
        <v>648</v>
      </c>
      <c r="K21" s="2">
        <v>1710</v>
      </c>
      <c r="L21" s="10">
        <v>1062</v>
      </c>
    </row>
    <row r="22" spans="1:12">
      <c r="A22" s="9">
        <v>45869</v>
      </c>
      <c r="B22" s="2" t="s">
        <v>30</v>
      </c>
      <c r="C22" s="2" t="s">
        <v>18</v>
      </c>
      <c r="D22" s="2" t="s">
        <v>23</v>
      </c>
      <c r="E22" s="2" t="s">
        <v>15</v>
      </c>
      <c r="F22" s="2" t="s">
        <v>16</v>
      </c>
      <c r="G22" s="2">
        <v>6</v>
      </c>
      <c r="H22" s="2">
        <v>144</v>
      </c>
      <c r="I22" s="2">
        <v>226</v>
      </c>
      <c r="J22" s="2">
        <v>864</v>
      </c>
      <c r="K22" s="2">
        <v>1356</v>
      </c>
      <c r="L22" s="10">
        <v>492</v>
      </c>
    </row>
    <row r="23" spans="1:12">
      <c r="A23" s="9">
        <v>45877</v>
      </c>
      <c r="B23" s="2" t="s">
        <v>32</v>
      </c>
      <c r="C23" s="2" t="s">
        <v>33</v>
      </c>
      <c r="D23" s="2" t="s">
        <v>42</v>
      </c>
      <c r="E23" s="2" t="s">
        <v>15</v>
      </c>
      <c r="F23" s="2" t="s">
        <v>21</v>
      </c>
      <c r="G23" s="2">
        <v>5</v>
      </c>
      <c r="H23" s="2">
        <v>197</v>
      </c>
      <c r="I23" s="2">
        <v>428</v>
      </c>
      <c r="J23" s="2">
        <v>985</v>
      </c>
      <c r="K23" s="2">
        <v>2140</v>
      </c>
      <c r="L23" s="10">
        <v>1155</v>
      </c>
    </row>
    <row r="24" spans="1:12">
      <c r="A24" s="9">
        <v>45889</v>
      </c>
      <c r="B24" s="2" t="s">
        <v>38</v>
      </c>
      <c r="C24" s="2" t="s">
        <v>13</v>
      </c>
      <c r="D24" s="2" t="s">
        <v>43</v>
      </c>
      <c r="E24" s="2" t="s">
        <v>15</v>
      </c>
      <c r="F24" s="2" t="s">
        <v>21</v>
      </c>
      <c r="G24" s="2">
        <v>10</v>
      </c>
      <c r="H24" s="2">
        <v>164</v>
      </c>
      <c r="I24" s="2">
        <v>443</v>
      </c>
      <c r="J24" s="2">
        <v>1640</v>
      </c>
      <c r="K24" s="2">
        <v>4430</v>
      </c>
      <c r="L24" s="10">
        <v>2790</v>
      </c>
    </row>
    <row r="25" spans="1:12">
      <c r="A25" s="9">
        <v>45898</v>
      </c>
      <c r="B25" s="2" t="s">
        <v>17</v>
      </c>
      <c r="C25" s="2" t="s">
        <v>36</v>
      </c>
      <c r="D25" s="2" t="s">
        <v>44</v>
      </c>
      <c r="E25" s="2" t="s">
        <v>15</v>
      </c>
      <c r="F25" s="2" t="s">
        <v>21</v>
      </c>
      <c r="G25" s="2">
        <v>9</v>
      </c>
      <c r="H25" s="2">
        <v>207</v>
      </c>
      <c r="I25" s="2">
        <v>423</v>
      </c>
      <c r="J25" s="2">
        <v>1863</v>
      </c>
      <c r="K25" s="2">
        <v>3807</v>
      </c>
      <c r="L25" s="10">
        <v>1944</v>
      </c>
    </row>
    <row r="26" spans="1:12">
      <c r="A26" s="9">
        <v>45903</v>
      </c>
      <c r="B26" s="2" t="s">
        <v>32</v>
      </c>
      <c r="C26" s="2" t="s">
        <v>36</v>
      </c>
      <c r="D26" s="2" t="s">
        <v>45</v>
      </c>
      <c r="E26" s="2" t="s">
        <v>31</v>
      </c>
      <c r="F26" s="2" t="s">
        <v>21</v>
      </c>
      <c r="G26" s="2">
        <v>5</v>
      </c>
      <c r="H26" s="2">
        <v>232</v>
      </c>
      <c r="I26" s="2">
        <v>489</v>
      </c>
      <c r="J26" s="2">
        <v>1160</v>
      </c>
      <c r="K26" s="2">
        <v>2445</v>
      </c>
      <c r="L26" s="10">
        <v>1285</v>
      </c>
    </row>
    <row r="27" spans="1:12">
      <c r="A27" s="9">
        <v>45915</v>
      </c>
      <c r="B27" s="2" t="s">
        <v>46</v>
      </c>
      <c r="C27" s="2" t="s">
        <v>13</v>
      </c>
      <c r="D27" s="2" t="s">
        <v>14</v>
      </c>
      <c r="E27" s="2" t="s">
        <v>22</v>
      </c>
      <c r="F27" s="2" t="s">
        <v>16</v>
      </c>
      <c r="G27" s="2">
        <v>2</v>
      </c>
      <c r="H27" s="2">
        <v>289</v>
      </c>
      <c r="I27" s="2">
        <v>521</v>
      </c>
      <c r="J27" s="2">
        <v>578</v>
      </c>
      <c r="K27" s="2">
        <v>1042</v>
      </c>
      <c r="L27" s="10">
        <v>464</v>
      </c>
    </row>
    <row r="28" spans="1:12">
      <c r="A28" s="9">
        <v>45928</v>
      </c>
      <c r="B28" s="2" t="s">
        <v>27</v>
      </c>
      <c r="C28" s="2" t="s">
        <v>36</v>
      </c>
      <c r="D28" s="2" t="s">
        <v>47</v>
      </c>
      <c r="E28" s="2" t="s">
        <v>15</v>
      </c>
      <c r="F28" s="2" t="s">
        <v>21</v>
      </c>
      <c r="G28" s="2">
        <v>1</v>
      </c>
      <c r="H28" s="2">
        <v>108</v>
      </c>
      <c r="I28" s="2">
        <v>294</v>
      </c>
      <c r="J28" s="2">
        <v>108</v>
      </c>
      <c r="K28" s="2">
        <v>294</v>
      </c>
      <c r="L28" s="10">
        <v>186</v>
      </c>
    </row>
    <row r="29" spans="1:12">
      <c r="A29" s="9">
        <v>45934</v>
      </c>
      <c r="B29" s="2" t="s">
        <v>24</v>
      </c>
      <c r="C29" s="2" t="s">
        <v>18</v>
      </c>
      <c r="D29" s="2" t="s">
        <v>48</v>
      </c>
      <c r="E29" s="2" t="s">
        <v>20</v>
      </c>
      <c r="F29" s="2" t="s">
        <v>16</v>
      </c>
      <c r="G29" s="2">
        <v>6</v>
      </c>
      <c r="H29" s="2">
        <v>383</v>
      </c>
      <c r="I29" s="2">
        <v>643</v>
      </c>
      <c r="J29" s="2">
        <v>2298</v>
      </c>
      <c r="K29" s="2">
        <v>3858</v>
      </c>
      <c r="L29" s="10">
        <v>1560</v>
      </c>
    </row>
    <row r="30" spans="1:12">
      <c r="A30" s="9">
        <v>45946</v>
      </c>
      <c r="B30" s="2" t="s">
        <v>24</v>
      </c>
      <c r="C30" s="2" t="s">
        <v>28</v>
      </c>
      <c r="D30" s="2" t="s">
        <v>49</v>
      </c>
      <c r="E30" s="2" t="s">
        <v>20</v>
      </c>
      <c r="F30" s="2" t="s">
        <v>21</v>
      </c>
      <c r="G30" s="2">
        <v>7</v>
      </c>
      <c r="H30" s="2">
        <v>441</v>
      </c>
      <c r="I30" s="2">
        <v>540</v>
      </c>
      <c r="J30" s="2">
        <v>3087</v>
      </c>
      <c r="K30" s="2">
        <v>3780</v>
      </c>
      <c r="L30" s="10">
        <v>693</v>
      </c>
    </row>
    <row r="31" spans="1:12">
      <c r="A31" s="9">
        <v>45960</v>
      </c>
      <c r="B31" s="2" t="s">
        <v>38</v>
      </c>
      <c r="C31" s="2" t="s">
        <v>28</v>
      </c>
      <c r="D31" s="2" t="s">
        <v>29</v>
      </c>
      <c r="E31" s="2" t="s">
        <v>31</v>
      </c>
      <c r="F31" s="2" t="s">
        <v>16</v>
      </c>
      <c r="G31" s="2">
        <v>3</v>
      </c>
      <c r="H31" s="2">
        <v>121</v>
      </c>
      <c r="I31" s="2">
        <v>385</v>
      </c>
      <c r="J31" s="2">
        <v>363</v>
      </c>
      <c r="K31" s="2">
        <v>1155</v>
      </c>
      <c r="L31" s="10">
        <v>792</v>
      </c>
    </row>
    <row r="32" spans="1:12">
      <c r="A32" s="9">
        <v>45966</v>
      </c>
      <c r="B32" s="2" t="s">
        <v>12</v>
      </c>
      <c r="C32" s="2" t="s">
        <v>28</v>
      </c>
      <c r="D32" s="2" t="s">
        <v>49</v>
      </c>
      <c r="E32" s="2" t="s">
        <v>22</v>
      </c>
      <c r="F32" s="2" t="s">
        <v>16</v>
      </c>
      <c r="G32" s="2">
        <v>5</v>
      </c>
      <c r="H32" s="2">
        <v>297</v>
      </c>
      <c r="I32" s="2">
        <v>517</v>
      </c>
      <c r="J32" s="2">
        <v>1485</v>
      </c>
      <c r="K32" s="2">
        <v>2585</v>
      </c>
      <c r="L32" s="10">
        <v>1100</v>
      </c>
    </row>
    <row r="33" spans="1:12">
      <c r="A33" s="9">
        <v>45978</v>
      </c>
      <c r="B33" s="2" t="s">
        <v>12</v>
      </c>
      <c r="C33" s="2" t="s">
        <v>33</v>
      </c>
      <c r="D33" s="2" t="s">
        <v>40</v>
      </c>
      <c r="E33" s="2" t="s">
        <v>31</v>
      </c>
      <c r="F33" s="2" t="s">
        <v>21</v>
      </c>
      <c r="G33" s="2">
        <v>8</v>
      </c>
      <c r="H33" s="2">
        <v>399</v>
      </c>
      <c r="I33" s="2">
        <v>564</v>
      </c>
      <c r="J33" s="2">
        <v>3192</v>
      </c>
      <c r="K33" s="2">
        <v>4512</v>
      </c>
      <c r="L33" s="10">
        <v>1320</v>
      </c>
    </row>
    <row r="34" spans="1:12">
      <c r="A34" s="9">
        <v>45990</v>
      </c>
      <c r="B34" s="2" t="s">
        <v>30</v>
      </c>
      <c r="C34" s="2" t="s">
        <v>36</v>
      </c>
      <c r="D34" s="2" t="s">
        <v>47</v>
      </c>
      <c r="E34" s="2" t="s">
        <v>20</v>
      </c>
      <c r="F34" s="2" t="s">
        <v>21</v>
      </c>
      <c r="G34" s="2">
        <v>8</v>
      </c>
      <c r="H34" s="2">
        <v>162</v>
      </c>
      <c r="I34" s="2">
        <v>270</v>
      </c>
      <c r="J34" s="2">
        <v>1296</v>
      </c>
      <c r="K34" s="2">
        <v>2160</v>
      </c>
      <c r="L34" s="10">
        <v>864</v>
      </c>
    </row>
    <row r="35" spans="1:12">
      <c r="A35" s="9">
        <v>45993</v>
      </c>
      <c r="B35" s="2" t="s">
        <v>17</v>
      </c>
      <c r="C35" s="2" t="s">
        <v>33</v>
      </c>
      <c r="D35" s="2" t="s">
        <v>34</v>
      </c>
      <c r="E35" s="2" t="s">
        <v>31</v>
      </c>
      <c r="F35" s="2" t="s">
        <v>16</v>
      </c>
      <c r="G35" s="2">
        <v>4</v>
      </c>
      <c r="H35" s="2">
        <v>301</v>
      </c>
      <c r="I35" s="2">
        <v>446</v>
      </c>
      <c r="J35" s="2">
        <v>1204</v>
      </c>
      <c r="K35" s="2">
        <v>1784</v>
      </c>
      <c r="L35" s="10">
        <v>580</v>
      </c>
    </row>
    <row r="36" spans="1:12">
      <c r="A36" s="9">
        <v>46005</v>
      </c>
      <c r="B36" s="2" t="s">
        <v>30</v>
      </c>
      <c r="C36" s="2" t="s">
        <v>18</v>
      </c>
      <c r="D36" s="2" t="s">
        <v>23</v>
      </c>
      <c r="E36" s="2" t="s">
        <v>15</v>
      </c>
      <c r="F36" s="2" t="s">
        <v>16</v>
      </c>
      <c r="G36" s="2">
        <v>9</v>
      </c>
      <c r="H36" s="2">
        <v>272</v>
      </c>
      <c r="I36" s="2">
        <v>530</v>
      </c>
      <c r="J36" s="2">
        <v>2448</v>
      </c>
      <c r="K36" s="2">
        <v>4770</v>
      </c>
      <c r="L36" s="10">
        <v>2322</v>
      </c>
    </row>
    <row r="37" spans="1:12">
      <c r="A37" s="9">
        <v>46019</v>
      </c>
      <c r="B37" s="2" t="s">
        <v>24</v>
      </c>
      <c r="C37" s="2" t="s">
        <v>36</v>
      </c>
      <c r="D37" s="2" t="s">
        <v>50</v>
      </c>
      <c r="E37" s="2" t="s">
        <v>15</v>
      </c>
      <c r="F37" s="2" t="s">
        <v>16</v>
      </c>
      <c r="G37" s="2">
        <v>2</v>
      </c>
      <c r="H37" s="2">
        <v>466</v>
      </c>
      <c r="I37" s="2">
        <v>536</v>
      </c>
      <c r="J37" s="2">
        <v>932</v>
      </c>
      <c r="K37" s="2">
        <v>1072</v>
      </c>
      <c r="L37" s="10">
        <v>140</v>
      </c>
    </row>
    <row r="38" spans="1:12">
      <c r="A38" s="9">
        <v>45666</v>
      </c>
      <c r="B38" s="2" t="s">
        <v>27</v>
      </c>
      <c r="C38" s="2" t="s">
        <v>36</v>
      </c>
      <c r="D38" s="2" t="s">
        <v>44</v>
      </c>
      <c r="E38" s="2" t="s">
        <v>22</v>
      </c>
      <c r="F38" s="2" t="s">
        <v>16</v>
      </c>
      <c r="G38" s="2">
        <v>1</v>
      </c>
      <c r="H38" s="2">
        <v>309</v>
      </c>
      <c r="I38" s="2">
        <v>410</v>
      </c>
      <c r="J38" s="2">
        <v>309</v>
      </c>
      <c r="K38" s="2">
        <v>410</v>
      </c>
      <c r="L38" s="10">
        <v>101</v>
      </c>
    </row>
    <row r="39" spans="1:12">
      <c r="A39" s="9">
        <v>45679</v>
      </c>
      <c r="B39" s="2" t="s">
        <v>32</v>
      </c>
      <c r="C39" s="2" t="s">
        <v>28</v>
      </c>
      <c r="D39" s="2" t="s">
        <v>51</v>
      </c>
      <c r="E39" s="2" t="s">
        <v>15</v>
      </c>
      <c r="F39" s="2" t="s">
        <v>16</v>
      </c>
      <c r="G39" s="2">
        <v>2</v>
      </c>
      <c r="H39" s="2">
        <v>272</v>
      </c>
      <c r="I39" s="2">
        <v>566</v>
      </c>
      <c r="J39" s="2">
        <v>544</v>
      </c>
      <c r="K39" s="2">
        <v>1132</v>
      </c>
      <c r="L39" s="10">
        <v>588</v>
      </c>
    </row>
    <row r="40" spans="1:12">
      <c r="A40" s="9">
        <v>45688</v>
      </c>
      <c r="B40" s="2" t="s">
        <v>38</v>
      </c>
      <c r="C40" s="2" t="s">
        <v>13</v>
      </c>
      <c r="D40" s="2" t="s">
        <v>52</v>
      </c>
      <c r="E40" s="2" t="s">
        <v>15</v>
      </c>
      <c r="F40" s="2" t="s">
        <v>16</v>
      </c>
      <c r="G40" s="2">
        <v>3</v>
      </c>
      <c r="H40" s="2">
        <v>336</v>
      </c>
      <c r="I40" s="2">
        <v>540</v>
      </c>
      <c r="J40" s="2">
        <v>1008</v>
      </c>
      <c r="K40" s="2">
        <v>1620</v>
      </c>
      <c r="L40" s="10">
        <v>612</v>
      </c>
    </row>
    <row r="41" spans="1:12">
      <c r="A41" s="9">
        <v>45694</v>
      </c>
      <c r="B41" s="2" t="s">
        <v>46</v>
      </c>
      <c r="C41" s="2" t="s">
        <v>36</v>
      </c>
      <c r="D41" s="2" t="s">
        <v>47</v>
      </c>
      <c r="E41" s="2" t="s">
        <v>20</v>
      </c>
      <c r="F41" s="2" t="s">
        <v>16</v>
      </c>
      <c r="G41" s="2">
        <v>6</v>
      </c>
      <c r="H41" s="2">
        <v>225</v>
      </c>
      <c r="I41" s="2">
        <v>377</v>
      </c>
      <c r="J41" s="2">
        <v>1350</v>
      </c>
      <c r="K41" s="2">
        <v>2262</v>
      </c>
      <c r="L41" s="10">
        <v>912</v>
      </c>
    </row>
    <row r="42" spans="1:12">
      <c r="A42" s="9">
        <v>45706</v>
      </c>
      <c r="B42" s="2" t="s">
        <v>38</v>
      </c>
      <c r="C42" s="2" t="s">
        <v>13</v>
      </c>
      <c r="D42" s="2" t="s">
        <v>52</v>
      </c>
      <c r="E42" s="2" t="s">
        <v>22</v>
      </c>
      <c r="F42" s="2" t="s">
        <v>16</v>
      </c>
      <c r="G42" s="2">
        <v>7</v>
      </c>
      <c r="H42" s="2">
        <v>428</v>
      </c>
      <c r="I42" s="2">
        <v>651</v>
      </c>
      <c r="J42" s="2">
        <v>2996</v>
      </c>
      <c r="K42" s="2">
        <v>4557</v>
      </c>
      <c r="L42" s="10">
        <v>1561</v>
      </c>
    </row>
    <row r="43" spans="1:12">
      <c r="A43" s="9">
        <v>45715</v>
      </c>
      <c r="B43" s="2" t="s">
        <v>17</v>
      </c>
      <c r="C43" s="2" t="s">
        <v>36</v>
      </c>
      <c r="D43" s="2" t="s">
        <v>47</v>
      </c>
      <c r="E43" s="2" t="s">
        <v>31</v>
      </c>
      <c r="F43" s="2" t="s">
        <v>16</v>
      </c>
      <c r="G43" s="2">
        <v>6</v>
      </c>
      <c r="H43" s="2">
        <v>355</v>
      </c>
      <c r="I43" s="2">
        <v>414</v>
      </c>
      <c r="J43" s="2">
        <v>2130</v>
      </c>
      <c r="K43" s="2">
        <v>2484</v>
      </c>
      <c r="L43" s="10">
        <v>354</v>
      </c>
    </row>
    <row r="44" spans="1:12">
      <c r="A44" s="9">
        <v>45720</v>
      </c>
      <c r="B44" s="2" t="s">
        <v>12</v>
      </c>
      <c r="C44" s="2" t="s">
        <v>36</v>
      </c>
      <c r="D44" s="2" t="s">
        <v>50</v>
      </c>
      <c r="E44" s="2" t="s">
        <v>20</v>
      </c>
      <c r="F44" s="2" t="s">
        <v>21</v>
      </c>
      <c r="G44" s="2">
        <v>6</v>
      </c>
      <c r="H44" s="2">
        <v>289</v>
      </c>
      <c r="I44" s="2">
        <v>363</v>
      </c>
      <c r="J44" s="2">
        <v>1734</v>
      </c>
      <c r="K44" s="2">
        <v>2178</v>
      </c>
      <c r="L44" s="10">
        <v>444</v>
      </c>
    </row>
    <row r="45" spans="1:12">
      <c r="A45" s="9">
        <v>45732</v>
      </c>
      <c r="B45" s="2" t="s">
        <v>38</v>
      </c>
      <c r="C45" s="2" t="s">
        <v>18</v>
      </c>
      <c r="D45" s="2" t="s">
        <v>19</v>
      </c>
      <c r="E45" s="2" t="s">
        <v>31</v>
      </c>
      <c r="F45" s="2" t="s">
        <v>21</v>
      </c>
      <c r="G45" s="2">
        <v>5</v>
      </c>
      <c r="H45" s="2">
        <v>273</v>
      </c>
      <c r="I45" s="2">
        <v>382</v>
      </c>
      <c r="J45" s="2">
        <v>1365</v>
      </c>
      <c r="K45" s="2">
        <v>1910</v>
      </c>
      <c r="L45" s="10">
        <v>545</v>
      </c>
    </row>
    <row r="46" spans="1:12">
      <c r="A46" s="9">
        <v>45744</v>
      </c>
      <c r="B46" s="2" t="s">
        <v>46</v>
      </c>
      <c r="C46" s="2" t="s">
        <v>18</v>
      </c>
      <c r="D46" s="2" t="s">
        <v>23</v>
      </c>
      <c r="E46" s="2" t="s">
        <v>20</v>
      </c>
      <c r="F46" s="2" t="s">
        <v>21</v>
      </c>
      <c r="G46" s="2">
        <v>8</v>
      </c>
      <c r="H46" s="2">
        <v>302</v>
      </c>
      <c r="I46" s="2">
        <v>402</v>
      </c>
      <c r="J46" s="2">
        <v>2416</v>
      </c>
      <c r="K46" s="2">
        <v>3216</v>
      </c>
      <c r="L46" s="10">
        <v>800</v>
      </c>
    </row>
    <row r="47" spans="1:12">
      <c r="A47" s="9">
        <v>45750</v>
      </c>
      <c r="B47" s="2" t="s">
        <v>27</v>
      </c>
      <c r="C47" s="2" t="s">
        <v>18</v>
      </c>
      <c r="D47" s="2" t="s">
        <v>23</v>
      </c>
      <c r="E47" s="2" t="s">
        <v>20</v>
      </c>
      <c r="F47" s="2" t="s">
        <v>21</v>
      </c>
      <c r="G47" s="2">
        <v>6</v>
      </c>
      <c r="H47" s="2">
        <v>157</v>
      </c>
      <c r="I47" s="2">
        <v>216</v>
      </c>
      <c r="J47" s="2">
        <v>942</v>
      </c>
      <c r="K47" s="2">
        <v>1296</v>
      </c>
      <c r="L47" s="10">
        <v>354</v>
      </c>
    </row>
    <row r="48" spans="1:12">
      <c r="A48" s="9">
        <v>45764</v>
      </c>
      <c r="B48" s="2" t="s">
        <v>27</v>
      </c>
      <c r="C48" s="2" t="s">
        <v>33</v>
      </c>
      <c r="D48" s="2" t="s">
        <v>34</v>
      </c>
      <c r="E48" s="2" t="s">
        <v>15</v>
      </c>
      <c r="F48" s="2" t="s">
        <v>21</v>
      </c>
      <c r="G48" s="2">
        <v>2</v>
      </c>
      <c r="H48" s="2">
        <v>236</v>
      </c>
      <c r="I48" s="2">
        <v>508</v>
      </c>
      <c r="J48" s="2">
        <v>472</v>
      </c>
      <c r="K48" s="2">
        <v>1016</v>
      </c>
      <c r="L48" s="10">
        <v>544</v>
      </c>
    </row>
    <row r="49" spans="1:12">
      <c r="A49" s="9">
        <v>45777</v>
      </c>
      <c r="B49" s="2" t="s">
        <v>38</v>
      </c>
      <c r="C49" s="2" t="s">
        <v>18</v>
      </c>
      <c r="D49" s="2" t="s">
        <v>23</v>
      </c>
      <c r="E49" s="2" t="s">
        <v>15</v>
      </c>
      <c r="F49" s="2" t="s">
        <v>16</v>
      </c>
      <c r="G49" s="2">
        <v>3</v>
      </c>
      <c r="H49" s="2">
        <v>399</v>
      </c>
      <c r="I49" s="2">
        <v>693</v>
      </c>
      <c r="J49" s="2">
        <v>1197</v>
      </c>
      <c r="K49" s="2">
        <v>2079</v>
      </c>
      <c r="L49" s="10">
        <v>882</v>
      </c>
    </row>
    <row r="50" spans="1:12">
      <c r="A50" s="9">
        <v>45783</v>
      </c>
      <c r="B50" s="2" t="s">
        <v>12</v>
      </c>
      <c r="C50" s="2" t="s">
        <v>13</v>
      </c>
      <c r="D50" s="2" t="s">
        <v>53</v>
      </c>
      <c r="E50" s="2" t="s">
        <v>26</v>
      </c>
      <c r="F50" s="2" t="s">
        <v>16</v>
      </c>
      <c r="G50" s="2">
        <v>6</v>
      </c>
      <c r="H50" s="2">
        <v>347</v>
      </c>
      <c r="I50" s="2">
        <v>583</v>
      </c>
      <c r="J50" s="2">
        <v>2082</v>
      </c>
      <c r="K50" s="2">
        <v>3498</v>
      </c>
      <c r="L50" s="10">
        <v>1416</v>
      </c>
    </row>
    <row r="51" spans="1:12">
      <c r="A51" s="9">
        <v>45796</v>
      </c>
      <c r="B51" s="2" t="s">
        <v>12</v>
      </c>
      <c r="C51" s="2" t="s">
        <v>33</v>
      </c>
      <c r="D51" s="2" t="s">
        <v>39</v>
      </c>
      <c r="E51" s="2" t="s">
        <v>20</v>
      </c>
      <c r="F51" s="2" t="s">
        <v>21</v>
      </c>
      <c r="G51" s="2">
        <v>10</v>
      </c>
      <c r="H51" s="2">
        <v>181</v>
      </c>
      <c r="I51" s="2">
        <v>333</v>
      </c>
      <c r="J51" s="2">
        <v>1810</v>
      </c>
      <c r="K51" s="2">
        <v>3330</v>
      </c>
      <c r="L51" s="10">
        <v>1520</v>
      </c>
    </row>
    <row r="52" spans="1:12">
      <c r="A52" s="9">
        <v>45808</v>
      </c>
      <c r="B52" s="2" t="s">
        <v>27</v>
      </c>
      <c r="C52" s="2" t="s">
        <v>13</v>
      </c>
      <c r="D52" s="2" t="s">
        <v>14</v>
      </c>
      <c r="E52" s="2" t="s">
        <v>31</v>
      </c>
      <c r="F52" s="2" t="s">
        <v>21</v>
      </c>
      <c r="G52" s="2">
        <v>4</v>
      </c>
      <c r="H52" s="2">
        <v>416</v>
      </c>
      <c r="I52" s="2">
        <v>649</v>
      </c>
      <c r="J52" s="2">
        <v>1664</v>
      </c>
      <c r="K52" s="2">
        <v>2596</v>
      </c>
      <c r="L52" s="10">
        <v>932</v>
      </c>
    </row>
    <row r="53" spans="1:12">
      <c r="A53" s="9">
        <v>45815</v>
      </c>
      <c r="B53" s="2" t="s">
        <v>30</v>
      </c>
      <c r="C53" s="2" t="s">
        <v>18</v>
      </c>
      <c r="D53" s="2" t="s">
        <v>48</v>
      </c>
      <c r="E53" s="2" t="s">
        <v>22</v>
      </c>
      <c r="F53" s="2" t="s">
        <v>16</v>
      </c>
      <c r="G53" s="2">
        <v>6</v>
      </c>
      <c r="H53" s="2">
        <v>329</v>
      </c>
      <c r="I53" s="2">
        <v>585</v>
      </c>
      <c r="J53" s="2">
        <v>1974</v>
      </c>
      <c r="K53" s="2">
        <v>3510</v>
      </c>
      <c r="L53" s="10">
        <v>1536</v>
      </c>
    </row>
    <row r="54" spans="1:12">
      <c r="A54" s="9">
        <v>45828</v>
      </c>
      <c r="B54" s="2" t="s">
        <v>12</v>
      </c>
      <c r="C54" s="2" t="s">
        <v>18</v>
      </c>
      <c r="D54" s="2" t="s">
        <v>48</v>
      </c>
      <c r="E54" s="2" t="s">
        <v>15</v>
      </c>
      <c r="F54" s="2" t="s">
        <v>16</v>
      </c>
      <c r="G54" s="2">
        <v>5</v>
      </c>
      <c r="H54" s="2">
        <v>179</v>
      </c>
      <c r="I54" s="2">
        <v>289</v>
      </c>
      <c r="J54" s="2">
        <v>895</v>
      </c>
      <c r="K54" s="2">
        <v>1445</v>
      </c>
      <c r="L54" s="10">
        <v>550</v>
      </c>
    </row>
    <row r="55" spans="1:12">
      <c r="A55" s="9">
        <v>45837</v>
      </c>
      <c r="B55" s="2" t="s">
        <v>12</v>
      </c>
      <c r="C55" s="2" t="s">
        <v>28</v>
      </c>
      <c r="D55" s="2" t="s">
        <v>54</v>
      </c>
      <c r="E55" s="2" t="s">
        <v>22</v>
      </c>
      <c r="F55" s="2" t="s">
        <v>16</v>
      </c>
      <c r="G55" s="2">
        <v>8</v>
      </c>
      <c r="H55" s="2">
        <v>176</v>
      </c>
      <c r="I55" s="2">
        <v>318</v>
      </c>
      <c r="J55" s="2">
        <v>1408</v>
      </c>
      <c r="K55" s="2">
        <v>2544</v>
      </c>
      <c r="L55" s="10">
        <v>1136</v>
      </c>
    </row>
    <row r="56" spans="1:12">
      <c r="A56" s="9">
        <v>45843</v>
      </c>
      <c r="B56" s="2" t="s">
        <v>46</v>
      </c>
      <c r="C56" s="2" t="s">
        <v>28</v>
      </c>
      <c r="D56" s="2" t="s">
        <v>49</v>
      </c>
      <c r="E56" s="2" t="s">
        <v>20</v>
      </c>
      <c r="F56" s="2" t="s">
        <v>21</v>
      </c>
      <c r="G56" s="2">
        <v>3</v>
      </c>
      <c r="H56" s="2">
        <v>100</v>
      </c>
      <c r="I56" s="2">
        <v>340</v>
      </c>
      <c r="J56" s="2">
        <v>300</v>
      </c>
      <c r="K56" s="2">
        <v>1020</v>
      </c>
      <c r="L56" s="10">
        <v>720</v>
      </c>
    </row>
    <row r="57" spans="1:12">
      <c r="A57" s="9">
        <v>45856</v>
      </c>
      <c r="B57" s="2" t="s">
        <v>30</v>
      </c>
      <c r="C57" s="2" t="s">
        <v>13</v>
      </c>
      <c r="D57" s="2" t="s">
        <v>14</v>
      </c>
      <c r="E57" s="2" t="s">
        <v>15</v>
      </c>
      <c r="F57" s="2" t="s">
        <v>21</v>
      </c>
      <c r="G57" s="2">
        <v>2</v>
      </c>
      <c r="H57" s="2">
        <v>329</v>
      </c>
      <c r="I57" s="2">
        <v>486</v>
      </c>
      <c r="J57" s="2">
        <v>658</v>
      </c>
      <c r="K57" s="2">
        <v>972</v>
      </c>
      <c r="L57" s="10">
        <v>314</v>
      </c>
    </row>
    <row r="58" spans="1:12">
      <c r="A58" s="9">
        <v>45868</v>
      </c>
      <c r="B58" s="2" t="s">
        <v>38</v>
      </c>
      <c r="C58" s="2" t="s">
        <v>33</v>
      </c>
      <c r="D58" s="2" t="s">
        <v>40</v>
      </c>
      <c r="E58" s="2" t="s">
        <v>31</v>
      </c>
      <c r="F58" s="2" t="s">
        <v>16</v>
      </c>
      <c r="G58" s="2">
        <v>9</v>
      </c>
      <c r="H58" s="2">
        <v>407</v>
      </c>
      <c r="I58" s="2">
        <v>703</v>
      </c>
      <c r="J58" s="2">
        <v>3663</v>
      </c>
      <c r="K58" s="2">
        <v>6327</v>
      </c>
      <c r="L58" s="10">
        <v>2664</v>
      </c>
    </row>
    <row r="59" spans="1:12">
      <c r="A59" s="9">
        <v>45876</v>
      </c>
      <c r="B59" s="2" t="s">
        <v>38</v>
      </c>
      <c r="C59" s="2" t="s">
        <v>28</v>
      </c>
      <c r="D59" s="2" t="s">
        <v>54</v>
      </c>
      <c r="E59" s="2" t="s">
        <v>31</v>
      </c>
      <c r="F59" s="2" t="s">
        <v>21</v>
      </c>
      <c r="G59" s="2">
        <v>1</v>
      </c>
      <c r="H59" s="2">
        <v>250</v>
      </c>
      <c r="I59" s="2">
        <v>493</v>
      </c>
      <c r="J59" s="2">
        <v>250</v>
      </c>
      <c r="K59" s="2">
        <v>493</v>
      </c>
      <c r="L59" s="10">
        <v>243</v>
      </c>
    </row>
    <row r="60" spans="1:12">
      <c r="A60" s="9">
        <v>45888</v>
      </c>
      <c r="B60" s="2" t="s">
        <v>38</v>
      </c>
      <c r="C60" s="2" t="s">
        <v>28</v>
      </c>
      <c r="D60" s="2" t="s">
        <v>54</v>
      </c>
      <c r="E60" s="2" t="s">
        <v>26</v>
      </c>
      <c r="F60" s="2" t="s">
        <v>21</v>
      </c>
      <c r="G60" s="2">
        <v>10</v>
      </c>
      <c r="H60" s="2">
        <v>216</v>
      </c>
      <c r="I60" s="2">
        <v>406</v>
      </c>
      <c r="J60" s="2">
        <v>2160</v>
      </c>
      <c r="K60" s="2">
        <v>4060</v>
      </c>
      <c r="L60" s="10">
        <v>1900</v>
      </c>
    </row>
    <row r="61" spans="1:12">
      <c r="A61" s="9">
        <v>45900</v>
      </c>
      <c r="B61" s="2" t="s">
        <v>12</v>
      </c>
      <c r="C61" s="2" t="s">
        <v>36</v>
      </c>
      <c r="D61" s="2" t="s">
        <v>47</v>
      </c>
      <c r="E61" s="2" t="s">
        <v>15</v>
      </c>
      <c r="F61" s="2" t="s">
        <v>16</v>
      </c>
      <c r="G61" s="2">
        <v>2</v>
      </c>
      <c r="H61" s="2">
        <v>425</v>
      </c>
      <c r="I61" s="2">
        <v>546</v>
      </c>
      <c r="J61" s="2">
        <v>850</v>
      </c>
      <c r="K61" s="2">
        <v>1092</v>
      </c>
      <c r="L61" s="10">
        <v>242</v>
      </c>
    </row>
    <row r="62" spans="1:12">
      <c r="A62" s="9">
        <v>45905</v>
      </c>
      <c r="B62" s="2" t="s">
        <v>32</v>
      </c>
      <c r="C62" s="2" t="s">
        <v>18</v>
      </c>
      <c r="D62" s="2" t="s">
        <v>25</v>
      </c>
      <c r="E62" s="2" t="s">
        <v>22</v>
      </c>
      <c r="F62" s="2" t="s">
        <v>21</v>
      </c>
      <c r="G62" s="2">
        <v>4</v>
      </c>
      <c r="H62" s="2">
        <v>179</v>
      </c>
      <c r="I62" s="2">
        <v>452</v>
      </c>
      <c r="J62" s="2">
        <v>716</v>
      </c>
      <c r="K62" s="2">
        <v>1808</v>
      </c>
      <c r="L62" s="10">
        <v>1092</v>
      </c>
    </row>
    <row r="63" spans="1:12">
      <c r="A63" s="9">
        <v>45917</v>
      </c>
      <c r="B63" s="2" t="s">
        <v>38</v>
      </c>
      <c r="C63" s="2" t="s">
        <v>13</v>
      </c>
      <c r="D63" s="2" t="s">
        <v>53</v>
      </c>
      <c r="E63" s="2" t="s">
        <v>22</v>
      </c>
      <c r="F63" s="2" t="s">
        <v>21</v>
      </c>
      <c r="G63" s="2">
        <v>3</v>
      </c>
      <c r="H63" s="2">
        <v>211</v>
      </c>
      <c r="I63" s="2">
        <v>473</v>
      </c>
      <c r="J63" s="2">
        <v>633</v>
      </c>
      <c r="K63" s="2">
        <v>1419</v>
      </c>
      <c r="L63" s="10">
        <v>786</v>
      </c>
    </row>
    <row r="64" spans="1:12">
      <c r="A64" s="9">
        <v>45930</v>
      </c>
      <c r="B64" s="2" t="s">
        <v>12</v>
      </c>
      <c r="C64" s="2" t="s">
        <v>33</v>
      </c>
      <c r="D64" s="2" t="s">
        <v>39</v>
      </c>
      <c r="E64" s="2" t="s">
        <v>31</v>
      </c>
      <c r="F64" s="2" t="s">
        <v>16</v>
      </c>
      <c r="G64" s="2">
        <v>9</v>
      </c>
      <c r="H64" s="2">
        <v>265</v>
      </c>
      <c r="I64" s="2">
        <v>448</v>
      </c>
      <c r="J64" s="2">
        <v>2385</v>
      </c>
      <c r="K64" s="2">
        <v>4032</v>
      </c>
      <c r="L64" s="10">
        <v>1647</v>
      </c>
    </row>
    <row r="65" spans="1:12">
      <c r="A65" s="9">
        <v>45936</v>
      </c>
      <c r="B65" s="2" t="s">
        <v>12</v>
      </c>
      <c r="C65" s="2" t="s">
        <v>13</v>
      </c>
      <c r="D65" s="2" t="s">
        <v>53</v>
      </c>
      <c r="E65" s="2" t="s">
        <v>26</v>
      </c>
      <c r="F65" s="2" t="s">
        <v>21</v>
      </c>
      <c r="G65" s="2">
        <v>1</v>
      </c>
      <c r="H65" s="2">
        <v>481</v>
      </c>
      <c r="I65" s="2">
        <v>691</v>
      </c>
      <c r="J65" s="2">
        <v>481</v>
      </c>
      <c r="K65" s="2">
        <v>691</v>
      </c>
      <c r="L65" s="10">
        <v>210</v>
      </c>
    </row>
    <row r="66" spans="1:12">
      <c r="A66" s="9">
        <v>45948</v>
      </c>
      <c r="B66" s="2" t="s">
        <v>46</v>
      </c>
      <c r="C66" s="2" t="s">
        <v>18</v>
      </c>
      <c r="D66" s="2" t="s">
        <v>25</v>
      </c>
      <c r="E66" s="2" t="s">
        <v>31</v>
      </c>
      <c r="F66" s="2" t="s">
        <v>16</v>
      </c>
      <c r="G66" s="2">
        <v>3</v>
      </c>
      <c r="H66" s="2">
        <v>234</v>
      </c>
      <c r="I66" s="2">
        <v>424</v>
      </c>
      <c r="J66" s="2">
        <v>702</v>
      </c>
      <c r="K66" s="2">
        <v>1272</v>
      </c>
      <c r="L66" s="10">
        <v>570</v>
      </c>
    </row>
    <row r="67" spans="1:12">
      <c r="A67" s="9">
        <v>45961</v>
      </c>
      <c r="B67" s="2" t="s">
        <v>17</v>
      </c>
      <c r="C67" s="2" t="s">
        <v>36</v>
      </c>
      <c r="D67" s="2" t="s">
        <v>45</v>
      </c>
      <c r="E67" s="2" t="s">
        <v>15</v>
      </c>
      <c r="F67" s="2" t="s">
        <v>21</v>
      </c>
      <c r="G67" s="2">
        <v>9</v>
      </c>
      <c r="H67" s="2">
        <v>279</v>
      </c>
      <c r="I67" s="2">
        <v>456</v>
      </c>
      <c r="J67" s="2">
        <v>2511</v>
      </c>
      <c r="K67" s="2">
        <v>4104</v>
      </c>
      <c r="L67" s="10">
        <v>1593</v>
      </c>
    </row>
    <row r="68" spans="1:12">
      <c r="A68" s="9">
        <v>45968</v>
      </c>
      <c r="B68" s="2" t="s">
        <v>38</v>
      </c>
      <c r="C68" s="2" t="s">
        <v>33</v>
      </c>
      <c r="D68" s="2" t="s">
        <v>55</v>
      </c>
      <c r="E68" s="2" t="s">
        <v>15</v>
      </c>
      <c r="F68" s="2" t="s">
        <v>21</v>
      </c>
      <c r="G68" s="2">
        <v>2</v>
      </c>
      <c r="H68" s="2">
        <v>201</v>
      </c>
      <c r="I68" s="2">
        <v>267</v>
      </c>
      <c r="J68" s="2">
        <v>402</v>
      </c>
      <c r="K68" s="2">
        <v>534</v>
      </c>
      <c r="L68" s="10">
        <v>132</v>
      </c>
    </row>
    <row r="69" spans="1:12">
      <c r="A69" s="9">
        <v>45980</v>
      </c>
      <c r="B69" s="2" t="s">
        <v>30</v>
      </c>
      <c r="C69" s="2" t="s">
        <v>33</v>
      </c>
      <c r="D69" s="2" t="s">
        <v>34</v>
      </c>
      <c r="E69" s="2" t="s">
        <v>31</v>
      </c>
      <c r="F69" s="2" t="s">
        <v>16</v>
      </c>
      <c r="G69" s="2">
        <v>6</v>
      </c>
      <c r="H69" s="2">
        <v>270</v>
      </c>
      <c r="I69" s="2">
        <v>342</v>
      </c>
      <c r="J69" s="2">
        <v>1620</v>
      </c>
      <c r="K69" s="2">
        <v>2052</v>
      </c>
      <c r="L69" s="10">
        <v>432</v>
      </c>
    </row>
    <row r="70" spans="1:12">
      <c r="A70" s="9">
        <v>45991</v>
      </c>
      <c r="B70" s="2" t="s">
        <v>24</v>
      </c>
      <c r="C70" s="2" t="s">
        <v>36</v>
      </c>
      <c r="D70" s="2" t="s">
        <v>44</v>
      </c>
      <c r="E70" s="2" t="s">
        <v>20</v>
      </c>
      <c r="F70" s="2" t="s">
        <v>21</v>
      </c>
      <c r="G70" s="2">
        <v>8</v>
      </c>
      <c r="H70" s="2">
        <v>329</v>
      </c>
      <c r="I70" s="2">
        <v>487</v>
      </c>
      <c r="J70" s="2">
        <v>2632</v>
      </c>
      <c r="K70" s="2">
        <v>3896</v>
      </c>
      <c r="L70" s="10">
        <v>1264</v>
      </c>
    </row>
    <row r="71" spans="1:12">
      <c r="A71" s="9">
        <v>45995</v>
      </c>
      <c r="B71" s="2" t="s">
        <v>32</v>
      </c>
      <c r="C71" s="2" t="s">
        <v>36</v>
      </c>
      <c r="D71" s="2" t="s">
        <v>44</v>
      </c>
      <c r="E71" s="2" t="s">
        <v>31</v>
      </c>
      <c r="F71" s="2" t="s">
        <v>16</v>
      </c>
      <c r="G71" s="2">
        <v>9</v>
      </c>
      <c r="H71" s="2">
        <v>250</v>
      </c>
      <c r="I71" s="2">
        <v>485</v>
      </c>
      <c r="J71" s="2">
        <v>2250</v>
      </c>
      <c r="K71" s="2">
        <v>4365</v>
      </c>
      <c r="L71" s="10">
        <v>2115</v>
      </c>
    </row>
    <row r="72" spans="1:12">
      <c r="A72" s="9">
        <v>46007</v>
      </c>
      <c r="B72" s="2" t="s">
        <v>17</v>
      </c>
      <c r="C72" s="2" t="s">
        <v>28</v>
      </c>
      <c r="D72" s="2" t="s">
        <v>54</v>
      </c>
      <c r="E72" s="2" t="s">
        <v>31</v>
      </c>
      <c r="F72" s="2" t="s">
        <v>16</v>
      </c>
      <c r="G72" s="2">
        <v>3</v>
      </c>
      <c r="H72" s="2">
        <v>121</v>
      </c>
      <c r="I72" s="2">
        <v>408</v>
      </c>
      <c r="J72" s="2">
        <v>363</v>
      </c>
      <c r="K72" s="2">
        <v>1224</v>
      </c>
      <c r="L72" s="10">
        <v>861</v>
      </c>
    </row>
    <row r="73" spans="1:12">
      <c r="A73" s="9">
        <v>46022</v>
      </c>
      <c r="B73" s="2" t="s">
        <v>17</v>
      </c>
      <c r="C73" s="2" t="s">
        <v>13</v>
      </c>
      <c r="D73" s="2" t="s">
        <v>52</v>
      </c>
      <c r="E73" s="2" t="s">
        <v>31</v>
      </c>
      <c r="F73" s="2" t="s">
        <v>21</v>
      </c>
      <c r="G73" s="2">
        <v>9</v>
      </c>
      <c r="H73" s="2">
        <v>211</v>
      </c>
      <c r="I73" s="2">
        <v>474</v>
      </c>
      <c r="J73" s="2">
        <v>1899</v>
      </c>
      <c r="K73" s="2">
        <v>4266</v>
      </c>
      <c r="L73" s="10">
        <v>2367</v>
      </c>
    </row>
    <row r="74" spans="1:12">
      <c r="A74" s="9">
        <v>45659</v>
      </c>
      <c r="B74" s="2" t="s">
        <v>38</v>
      </c>
      <c r="C74" s="2" t="s">
        <v>36</v>
      </c>
      <c r="D74" s="2" t="s">
        <v>37</v>
      </c>
      <c r="E74" s="2" t="s">
        <v>22</v>
      </c>
      <c r="F74" s="2" t="s">
        <v>16</v>
      </c>
      <c r="G74" s="2">
        <v>6</v>
      </c>
      <c r="H74" s="2">
        <v>377</v>
      </c>
      <c r="I74" s="2">
        <v>453</v>
      </c>
      <c r="J74" s="2">
        <v>2262</v>
      </c>
      <c r="K74" s="2">
        <v>2718</v>
      </c>
      <c r="L74" s="10">
        <v>456</v>
      </c>
    </row>
    <row r="75" spans="1:12">
      <c r="A75" s="9">
        <v>45671</v>
      </c>
      <c r="B75" s="2" t="s">
        <v>38</v>
      </c>
      <c r="C75" s="2" t="s">
        <v>36</v>
      </c>
      <c r="D75" s="2" t="s">
        <v>37</v>
      </c>
      <c r="E75" s="2" t="s">
        <v>22</v>
      </c>
      <c r="F75" s="2" t="s">
        <v>21</v>
      </c>
      <c r="G75" s="2">
        <v>8</v>
      </c>
      <c r="H75" s="2">
        <v>448</v>
      </c>
      <c r="I75" s="2">
        <v>550</v>
      </c>
      <c r="J75" s="2">
        <v>3584</v>
      </c>
      <c r="K75" s="2">
        <v>4400</v>
      </c>
      <c r="L75" s="10">
        <v>816</v>
      </c>
    </row>
    <row r="76" spans="1:12">
      <c r="A76" s="9">
        <v>45684</v>
      </c>
      <c r="B76" s="2" t="s">
        <v>24</v>
      </c>
      <c r="C76" s="2" t="s">
        <v>36</v>
      </c>
      <c r="D76" s="2" t="s">
        <v>47</v>
      </c>
      <c r="E76" s="2" t="s">
        <v>20</v>
      </c>
      <c r="F76" s="2" t="s">
        <v>16</v>
      </c>
      <c r="G76" s="2">
        <v>7</v>
      </c>
      <c r="H76" s="2">
        <v>233</v>
      </c>
      <c r="I76" s="2">
        <v>379</v>
      </c>
      <c r="J76" s="2">
        <v>1631</v>
      </c>
      <c r="K76" s="2">
        <v>2653</v>
      </c>
      <c r="L76" s="10">
        <v>1022</v>
      </c>
    </row>
    <row r="77" spans="1:12">
      <c r="A77" s="9">
        <v>45693</v>
      </c>
      <c r="B77" s="2" t="s">
        <v>17</v>
      </c>
      <c r="C77" s="2" t="s">
        <v>18</v>
      </c>
      <c r="D77" s="2" t="s">
        <v>48</v>
      </c>
      <c r="E77" s="2" t="s">
        <v>26</v>
      </c>
      <c r="F77" s="2" t="s">
        <v>16</v>
      </c>
      <c r="G77" s="2">
        <v>10</v>
      </c>
      <c r="H77" s="2">
        <v>218</v>
      </c>
      <c r="I77" s="2">
        <v>446</v>
      </c>
      <c r="J77" s="2">
        <v>2180</v>
      </c>
      <c r="K77" s="2">
        <v>4460</v>
      </c>
      <c r="L77" s="10">
        <v>2280</v>
      </c>
    </row>
    <row r="78" spans="1:12">
      <c r="A78" s="9">
        <v>45705</v>
      </c>
      <c r="B78" s="2" t="s">
        <v>38</v>
      </c>
      <c r="C78" s="2" t="s">
        <v>18</v>
      </c>
      <c r="D78" s="2" t="s">
        <v>19</v>
      </c>
      <c r="E78" s="2" t="s">
        <v>26</v>
      </c>
      <c r="F78" s="2" t="s">
        <v>21</v>
      </c>
      <c r="G78" s="2">
        <v>10</v>
      </c>
      <c r="H78" s="2">
        <v>397</v>
      </c>
      <c r="I78" s="2">
        <v>685</v>
      </c>
      <c r="J78" s="2">
        <v>3970</v>
      </c>
      <c r="K78" s="2">
        <v>6850</v>
      </c>
      <c r="L78" s="10">
        <v>2880</v>
      </c>
    </row>
    <row r="79" spans="1:12">
      <c r="A79" s="9">
        <v>45716</v>
      </c>
      <c r="B79" s="2" t="s">
        <v>32</v>
      </c>
      <c r="C79" s="2" t="s">
        <v>33</v>
      </c>
      <c r="D79" s="2" t="s">
        <v>39</v>
      </c>
      <c r="E79" s="2" t="s">
        <v>22</v>
      </c>
      <c r="F79" s="2" t="s">
        <v>21</v>
      </c>
      <c r="G79" s="2">
        <v>8</v>
      </c>
      <c r="H79" s="2">
        <v>244</v>
      </c>
      <c r="I79" s="2">
        <v>485</v>
      </c>
      <c r="J79" s="2">
        <v>1952</v>
      </c>
      <c r="K79" s="2">
        <v>3880</v>
      </c>
      <c r="L79" s="10">
        <v>1928</v>
      </c>
    </row>
    <row r="80" spans="1:12">
      <c r="A80" s="9">
        <v>45722</v>
      </c>
      <c r="B80" s="2" t="s">
        <v>38</v>
      </c>
      <c r="C80" s="2" t="s">
        <v>33</v>
      </c>
      <c r="D80" s="2" t="s">
        <v>55</v>
      </c>
      <c r="E80" s="2" t="s">
        <v>20</v>
      </c>
      <c r="F80" s="2" t="s">
        <v>16</v>
      </c>
      <c r="G80" s="2">
        <v>8</v>
      </c>
      <c r="H80" s="2">
        <v>494</v>
      </c>
      <c r="I80" s="2">
        <v>553</v>
      </c>
      <c r="J80" s="2">
        <v>3952</v>
      </c>
      <c r="K80" s="2">
        <v>4424</v>
      </c>
      <c r="L80" s="10">
        <v>472</v>
      </c>
    </row>
    <row r="81" spans="1:12">
      <c r="A81" s="9">
        <v>45734</v>
      </c>
      <c r="B81" s="2" t="s">
        <v>38</v>
      </c>
      <c r="C81" s="2" t="s">
        <v>28</v>
      </c>
      <c r="D81" s="2" t="s">
        <v>29</v>
      </c>
      <c r="E81" s="2" t="s">
        <v>26</v>
      </c>
      <c r="F81" s="2" t="s">
        <v>21</v>
      </c>
      <c r="G81" s="2">
        <v>7</v>
      </c>
      <c r="H81" s="2">
        <v>373</v>
      </c>
      <c r="I81" s="2">
        <v>666</v>
      </c>
      <c r="J81" s="2">
        <v>2611</v>
      </c>
      <c r="K81" s="2">
        <v>4662</v>
      </c>
      <c r="L81" s="10">
        <v>2051</v>
      </c>
    </row>
    <row r="82" spans="1:12">
      <c r="A82" s="9">
        <v>45745</v>
      </c>
      <c r="B82" s="2" t="s">
        <v>46</v>
      </c>
      <c r="C82" s="2" t="s">
        <v>18</v>
      </c>
      <c r="D82" s="2" t="s">
        <v>19</v>
      </c>
      <c r="E82" s="2" t="s">
        <v>31</v>
      </c>
      <c r="F82" s="2" t="s">
        <v>21</v>
      </c>
      <c r="G82" s="2">
        <v>6</v>
      </c>
      <c r="H82" s="2">
        <v>212</v>
      </c>
      <c r="I82" s="2">
        <v>393</v>
      </c>
      <c r="J82" s="2">
        <v>1272</v>
      </c>
      <c r="K82" s="2">
        <v>2358</v>
      </c>
      <c r="L82" s="10">
        <v>1086</v>
      </c>
    </row>
    <row r="83" spans="1:12">
      <c r="A83" s="9">
        <v>45751</v>
      </c>
      <c r="B83" s="2" t="s">
        <v>27</v>
      </c>
      <c r="C83" s="2" t="s">
        <v>28</v>
      </c>
      <c r="D83" s="2" t="s">
        <v>54</v>
      </c>
      <c r="E83" s="2" t="s">
        <v>15</v>
      </c>
      <c r="F83" s="2" t="s">
        <v>16</v>
      </c>
      <c r="G83" s="2">
        <v>9</v>
      </c>
      <c r="H83" s="2">
        <v>256</v>
      </c>
      <c r="I83" s="2">
        <v>433</v>
      </c>
      <c r="J83" s="2">
        <v>2304</v>
      </c>
      <c r="K83" s="2">
        <v>3897</v>
      </c>
      <c r="L83" s="10">
        <v>1593</v>
      </c>
    </row>
    <row r="84" spans="1:12">
      <c r="A84" s="9">
        <v>45763</v>
      </c>
      <c r="B84" s="2" t="s">
        <v>12</v>
      </c>
      <c r="C84" s="2" t="s">
        <v>13</v>
      </c>
      <c r="D84" s="2" t="s">
        <v>52</v>
      </c>
      <c r="E84" s="2" t="s">
        <v>15</v>
      </c>
      <c r="F84" s="2" t="s">
        <v>16</v>
      </c>
      <c r="G84" s="2">
        <v>7</v>
      </c>
      <c r="H84" s="2">
        <v>214</v>
      </c>
      <c r="I84" s="2">
        <v>403</v>
      </c>
      <c r="J84" s="2">
        <v>1498</v>
      </c>
      <c r="K84" s="2">
        <v>2821</v>
      </c>
      <c r="L84" s="10">
        <v>1323</v>
      </c>
    </row>
    <row r="85" spans="1:12">
      <c r="A85" s="9">
        <v>45776</v>
      </c>
      <c r="B85" s="2" t="s">
        <v>24</v>
      </c>
      <c r="C85" s="2" t="s">
        <v>33</v>
      </c>
      <c r="D85" s="2" t="s">
        <v>42</v>
      </c>
      <c r="E85" s="2" t="s">
        <v>31</v>
      </c>
      <c r="F85" s="2" t="s">
        <v>21</v>
      </c>
      <c r="G85" s="2">
        <v>2</v>
      </c>
      <c r="H85" s="2">
        <v>179</v>
      </c>
      <c r="I85" s="2">
        <v>367</v>
      </c>
      <c r="J85" s="2">
        <v>358</v>
      </c>
      <c r="K85" s="2">
        <v>734</v>
      </c>
      <c r="L85" s="10">
        <v>376</v>
      </c>
    </row>
    <row r="86" spans="1:12">
      <c r="A86" s="9">
        <v>45782</v>
      </c>
      <c r="B86" s="2" t="s">
        <v>32</v>
      </c>
      <c r="C86" s="2" t="s">
        <v>13</v>
      </c>
      <c r="D86" s="2" t="s">
        <v>52</v>
      </c>
      <c r="E86" s="2" t="s">
        <v>26</v>
      </c>
      <c r="F86" s="2" t="s">
        <v>16</v>
      </c>
      <c r="G86" s="2">
        <v>3</v>
      </c>
      <c r="H86" s="2">
        <v>482</v>
      </c>
      <c r="I86" s="2">
        <v>705</v>
      </c>
      <c r="J86" s="2">
        <v>1446</v>
      </c>
      <c r="K86" s="2">
        <v>2115</v>
      </c>
      <c r="L86" s="10">
        <v>669</v>
      </c>
    </row>
    <row r="87" spans="1:12">
      <c r="A87" s="9">
        <v>45795</v>
      </c>
      <c r="B87" s="2" t="s">
        <v>12</v>
      </c>
      <c r="C87" s="2" t="s">
        <v>13</v>
      </c>
      <c r="D87" s="2" t="s">
        <v>14</v>
      </c>
      <c r="E87" s="2" t="s">
        <v>15</v>
      </c>
      <c r="F87" s="2" t="s">
        <v>21</v>
      </c>
      <c r="G87" s="2">
        <v>1</v>
      </c>
      <c r="H87" s="2">
        <v>192</v>
      </c>
      <c r="I87" s="2">
        <v>249</v>
      </c>
      <c r="J87" s="2">
        <v>192</v>
      </c>
      <c r="K87" s="2">
        <v>249</v>
      </c>
      <c r="L87" s="10">
        <v>57</v>
      </c>
    </row>
    <row r="88" spans="1:12">
      <c r="A88" s="9">
        <v>45807</v>
      </c>
      <c r="B88" s="2" t="s">
        <v>27</v>
      </c>
      <c r="C88" s="2" t="s">
        <v>18</v>
      </c>
      <c r="D88" s="2" t="s">
        <v>41</v>
      </c>
      <c r="E88" s="2" t="s">
        <v>15</v>
      </c>
      <c r="F88" s="2" t="s">
        <v>16</v>
      </c>
      <c r="G88" s="2">
        <v>1</v>
      </c>
      <c r="H88" s="2">
        <v>445</v>
      </c>
      <c r="I88" s="2">
        <v>616</v>
      </c>
      <c r="J88" s="2">
        <v>445</v>
      </c>
      <c r="K88" s="2">
        <v>616</v>
      </c>
      <c r="L88" s="10">
        <v>171</v>
      </c>
    </row>
    <row r="89" spans="1:12">
      <c r="A89" s="9">
        <v>45814</v>
      </c>
      <c r="B89" s="2" t="s">
        <v>38</v>
      </c>
      <c r="C89" s="2" t="s">
        <v>13</v>
      </c>
      <c r="D89" s="2" t="s">
        <v>43</v>
      </c>
      <c r="E89" s="2" t="s">
        <v>20</v>
      </c>
      <c r="F89" s="2" t="s">
        <v>16</v>
      </c>
      <c r="G89" s="2">
        <v>2</v>
      </c>
      <c r="H89" s="2">
        <v>127</v>
      </c>
      <c r="I89" s="2">
        <v>393</v>
      </c>
      <c r="J89" s="2">
        <v>254</v>
      </c>
      <c r="K89" s="2">
        <v>786</v>
      </c>
      <c r="L89" s="10">
        <v>532</v>
      </c>
    </row>
    <row r="90" spans="1:12">
      <c r="A90" s="9">
        <v>45827</v>
      </c>
      <c r="B90" s="2" t="s">
        <v>24</v>
      </c>
      <c r="C90" s="2" t="s">
        <v>28</v>
      </c>
      <c r="D90" s="2" t="s">
        <v>54</v>
      </c>
      <c r="E90" s="2" t="s">
        <v>15</v>
      </c>
      <c r="F90" s="2" t="s">
        <v>21</v>
      </c>
      <c r="G90" s="2">
        <v>3</v>
      </c>
      <c r="H90" s="2">
        <v>230</v>
      </c>
      <c r="I90" s="2">
        <v>421</v>
      </c>
      <c r="J90" s="2">
        <v>690</v>
      </c>
      <c r="K90" s="2">
        <v>1263</v>
      </c>
      <c r="L90" s="10">
        <v>573</v>
      </c>
    </row>
    <row r="91" spans="1:12">
      <c r="A91" s="9">
        <v>45836</v>
      </c>
      <c r="B91" s="2" t="s">
        <v>38</v>
      </c>
      <c r="C91" s="2" t="s">
        <v>36</v>
      </c>
      <c r="D91" s="2" t="s">
        <v>47</v>
      </c>
      <c r="E91" s="2" t="s">
        <v>15</v>
      </c>
      <c r="F91" s="2" t="s">
        <v>16</v>
      </c>
      <c r="G91" s="2">
        <v>8</v>
      </c>
      <c r="H91" s="2">
        <v>182</v>
      </c>
      <c r="I91" s="2">
        <v>415</v>
      </c>
      <c r="J91" s="2">
        <v>1456</v>
      </c>
      <c r="K91" s="2">
        <v>3320</v>
      </c>
      <c r="L91" s="10">
        <v>1864</v>
      </c>
    </row>
    <row r="92" spans="1:12">
      <c r="A92" s="9">
        <v>45842</v>
      </c>
      <c r="B92" s="2" t="s">
        <v>32</v>
      </c>
      <c r="C92" s="2" t="s">
        <v>36</v>
      </c>
      <c r="D92" s="2" t="s">
        <v>44</v>
      </c>
      <c r="E92" s="2" t="s">
        <v>26</v>
      </c>
      <c r="F92" s="2" t="s">
        <v>21</v>
      </c>
      <c r="G92" s="2">
        <v>5</v>
      </c>
      <c r="H92" s="2">
        <v>161</v>
      </c>
      <c r="I92" s="2">
        <v>262</v>
      </c>
      <c r="J92" s="2">
        <v>805</v>
      </c>
      <c r="K92" s="2">
        <v>1310</v>
      </c>
      <c r="L92" s="10">
        <v>505</v>
      </c>
    </row>
    <row r="93" spans="1:12">
      <c r="A93" s="9">
        <v>45854</v>
      </c>
      <c r="B93" s="2" t="s">
        <v>17</v>
      </c>
      <c r="C93" s="2" t="s">
        <v>33</v>
      </c>
      <c r="D93" s="2" t="s">
        <v>34</v>
      </c>
      <c r="E93" s="2" t="s">
        <v>22</v>
      </c>
      <c r="F93" s="2" t="s">
        <v>21</v>
      </c>
      <c r="G93" s="2">
        <v>6</v>
      </c>
      <c r="H93" s="2">
        <v>465</v>
      </c>
      <c r="I93" s="2">
        <v>641</v>
      </c>
      <c r="J93" s="2">
        <v>2790</v>
      </c>
      <c r="K93" s="2">
        <v>3846</v>
      </c>
      <c r="L93" s="10">
        <v>1056</v>
      </c>
    </row>
    <row r="94" spans="1:12">
      <c r="A94" s="9">
        <v>45867</v>
      </c>
      <c r="B94" s="2" t="s">
        <v>24</v>
      </c>
      <c r="C94" s="2" t="s">
        <v>28</v>
      </c>
      <c r="D94" s="2" t="s">
        <v>49</v>
      </c>
      <c r="E94" s="2" t="s">
        <v>22</v>
      </c>
      <c r="F94" s="2" t="s">
        <v>16</v>
      </c>
      <c r="G94" s="2">
        <v>7</v>
      </c>
      <c r="H94" s="2">
        <v>169</v>
      </c>
      <c r="I94" s="2">
        <v>331</v>
      </c>
      <c r="J94" s="2">
        <v>1183</v>
      </c>
      <c r="K94" s="2">
        <v>2317</v>
      </c>
      <c r="L94" s="10">
        <v>1134</v>
      </c>
    </row>
    <row r="95" spans="1:12">
      <c r="A95" s="9">
        <v>45875</v>
      </c>
      <c r="B95" s="2" t="s">
        <v>12</v>
      </c>
      <c r="C95" s="2" t="s">
        <v>18</v>
      </c>
      <c r="D95" s="2" t="s">
        <v>41</v>
      </c>
      <c r="E95" s="2" t="s">
        <v>15</v>
      </c>
      <c r="F95" s="2" t="s">
        <v>21</v>
      </c>
      <c r="G95" s="2">
        <v>5</v>
      </c>
      <c r="H95" s="2">
        <v>371</v>
      </c>
      <c r="I95" s="2">
        <v>477</v>
      </c>
      <c r="J95" s="2">
        <v>1855</v>
      </c>
      <c r="K95" s="2">
        <v>2385</v>
      </c>
      <c r="L95" s="10">
        <v>530</v>
      </c>
    </row>
    <row r="96" spans="1:12">
      <c r="A96" s="9">
        <v>45887</v>
      </c>
      <c r="B96" s="2" t="s">
        <v>12</v>
      </c>
      <c r="C96" s="2" t="s">
        <v>18</v>
      </c>
      <c r="D96" s="2" t="s">
        <v>41</v>
      </c>
      <c r="E96" s="2" t="s">
        <v>31</v>
      </c>
      <c r="F96" s="2" t="s">
        <v>21</v>
      </c>
      <c r="G96" s="2">
        <v>10</v>
      </c>
      <c r="H96" s="2">
        <v>451</v>
      </c>
      <c r="I96" s="2">
        <v>615</v>
      </c>
      <c r="J96" s="2">
        <v>4510</v>
      </c>
      <c r="K96" s="2">
        <v>6150</v>
      </c>
      <c r="L96" s="10">
        <v>1640</v>
      </c>
    </row>
    <row r="97" spans="1:12">
      <c r="A97" s="9">
        <v>45899</v>
      </c>
      <c r="B97" s="2" t="s">
        <v>27</v>
      </c>
      <c r="C97" s="2" t="s">
        <v>33</v>
      </c>
      <c r="D97" s="2" t="s">
        <v>40</v>
      </c>
      <c r="E97" s="2" t="s">
        <v>20</v>
      </c>
      <c r="F97" s="2" t="s">
        <v>21</v>
      </c>
      <c r="G97" s="2">
        <v>2</v>
      </c>
      <c r="H97" s="2">
        <v>376</v>
      </c>
      <c r="I97" s="2">
        <v>655</v>
      </c>
      <c r="J97" s="2">
        <v>752</v>
      </c>
      <c r="K97" s="2">
        <v>1310</v>
      </c>
      <c r="L97" s="10">
        <v>558</v>
      </c>
    </row>
    <row r="98" spans="1:12">
      <c r="A98" s="9">
        <v>45904</v>
      </c>
      <c r="B98" s="2" t="s">
        <v>38</v>
      </c>
      <c r="C98" s="2" t="s">
        <v>13</v>
      </c>
      <c r="D98" s="2" t="s">
        <v>14</v>
      </c>
      <c r="E98" s="2" t="s">
        <v>22</v>
      </c>
      <c r="F98" s="2" t="s">
        <v>21</v>
      </c>
      <c r="G98" s="2">
        <v>7</v>
      </c>
      <c r="H98" s="2">
        <v>350</v>
      </c>
      <c r="I98" s="2">
        <v>607</v>
      </c>
      <c r="J98" s="2">
        <v>2450</v>
      </c>
      <c r="K98" s="2">
        <v>4249</v>
      </c>
      <c r="L98" s="10">
        <v>1799</v>
      </c>
    </row>
    <row r="99" spans="1:12">
      <c r="A99" s="9">
        <v>45916</v>
      </c>
      <c r="B99" s="2" t="s">
        <v>32</v>
      </c>
      <c r="C99" s="2" t="s">
        <v>13</v>
      </c>
      <c r="D99" s="2" t="s">
        <v>14</v>
      </c>
      <c r="E99" s="2" t="s">
        <v>22</v>
      </c>
      <c r="F99" s="2" t="s">
        <v>21</v>
      </c>
      <c r="G99" s="2">
        <v>9</v>
      </c>
      <c r="H99" s="2">
        <v>371</v>
      </c>
      <c r="I99" s="2">
        <v>439</v>
      </c>
      <c r="J99" s="2">
        <v>3339</v>
      </c>
      <c r="K99" s="2">
        <v>3951</v>
      </c>
      <c r="L99" s="10">
        <v>612</v>
      </c>
    </row>
    <row r="100" spans="1:12">
      <c r="A100" s="9">
        <v>45929</v>
      </c>
      <c r="B100" s="2" t="s">
        <v>12</v>
      </c>
      <c r="C100" s="2" t="s">
        <v>36</v>
      </c>
      <c r="D100" s="2" t="s">
        <v>50</v>
      </c>
      <c r="E100" s="2" t="s">
        <v>22</v>
      </c>
      <c r="F100" s="2" t="s">
        <v>16</v>
      </c>
      <c r="G100" s="2">
        <v>9</v>
      </c>
      <c r="H100" s="2">
        <v>409</v>
      </c>
      <c r="I100" s="2">
        <v>580</v>
      </c>
      <c r="J100" s="2">
        <v>3681</v>
      </c>
      <c r="K100" s="2">
        <v>5220</v>
      </c>
      <c r="L100" s="10">
        <v>1539</v>
      </c>
    </row>
    <row r="101" spans="1:12">
      <c r="A101" s="9">
        <v>45935</v>
      </c>
      <c r="B101" s="2" t="s">
        <v>12</v>
      </c>
      <c r="C101" s="2" t="s">
        <v>28</v>
      </c>
      <c r="D101" s="2" t="s">
        <v>54</v>
      </c>
      <c r="E101" s="2" t="s">
        <v>20</v>
      </c>
      <c r="F101" s="2" t="s">
        <v>16</v>
      </c>
      <c r="G101" s="2">
        <v>1</v>
      </c>
      <c r="H101" s="2">
        <v>173</v>
      </c>
      <c r="I101" s="2">
        <v>297</v>
      </c>
      <c r="J101" s="2">
        <v>173</v>
      </c>
      <c r="K101" s="2">
        <v>297</v>
      </c>
      <c r="L101" s="10">
        <v>124</v>
      </c>
    </row>
    <row r="102" spans="1:12">
      <c r="A102" s="9">
        <v>45947</v>
      </c>
      <c r="B102" s="2" t="s">
        <v>27</v>
      </c>
      <c r="C102" s="2" t="s">
        <v>28</v>
      </c>
      <c r="D102" s="2" t="s">
        <v>56</v>
      </c>
      <c r="E102" s="2" t="s">
        <v>26</v>
      </c>
      <c r="F102" s="2" t="s">
        <v>21</v>
      </c>
      <c r="G102" s="2">
        <v>10</v>
      </c>
      <c r="H102" s="2">
        <v>328</v>
      </c>
      <c r="I102" s="2">
        <v>535</v>
      </c>
      <c r="J102" s="2">
        <v>3280</v>
      </c>
      <c r="K102" s="2">
        <v>5350</v>
      </c>
      <c r="L102" s="10">
        <v>2070</v>
      </c>
    </row>
    <row r="103" spans="1:12">
      <c r="A103" s="9">
        <v>45959</v>
      </c>
      <c r="B103" s="2" t="s">
        <v>24</v>
      </c>
      <c r="C103" s="2" t="s">
        <v>13</v>
      </c>
      <c r="D103" s="2" t="s">
        <v>14</v>
      </c>
      <c r="E103" s="2" t="s">
        <v>26</v>
      </c>
      <c r="F103" s="2" t="s">
        <v>16</v>
      </c>
      <c r="G103" s="2">
        <v>4</v>
      </c>
      <c r="H103" s="2">
        <v>355</v>
      </c>
      <c r="I103" s="2">
        <v>443</v>
      </c>
      <c r="J103" s="2">
        <v>1420</v>
      </c>
      <c r="K103" s="2">
        <v>1772</v>
      </c>
      <c r="L103" s="10">
        <v>352</v>
      </c>
    </row>
    <row r="104" spans="1:12">
      <c r="A104" s="9">
        <v>45965</v>
      </c>
      <c r="B104" s="2" t="s">
        <v>38</v>
      </c>
      <c r="C104" s="2" t="s">
        <v>18</v>
      </c>
      <c r="D104" s="2" t="s">
        <v>48</v>
      </c>
      <c r="E104" s="2" t="s">
        <v>26</v>
      </c>
      <c r="F104" s="2" t="s">
        <v>21</v>
      </c>
      <c r="G104" s="2">
        <v>1</v>
      </c>
      <c r="H104" s="2">
        <v>385</v>
      </c>
      <c r="I104" s="2">
        <v>652</v>
      </c>
      <c r="J104" s="2">
        <v>385</v>
      </c>
      <c r="K104" s="2">
        <v>652</v>
      </c>
      <c r="L104" s="10">
        <v>267</v>
      </c>
    </row>
    <row r="105" spans="1:12">
      <c r="A105" s="9">
        <v>45977</v>
      </c>
      <c r="B105" s="2" t="s">
        <v>12</v>
      </c>
      <c r="C105" s="2" t="s">
        <v>18</v>
      </c>
      <c r="D105" s="2" t="s">
        <v>23</v>
      </c>
      <c r="E105" s="2" t="s">
        <v>31</v>
      </c>
      <c r="F105" s="2" t="s">
        <v>16</v>
      </c>
      <c r="G105" s="2">
        <v>5</v>
      </c>
      <c r="H105" s="2">
        <v>357</v>
      </c>
      <c r="I105" s="2">
        <v>557</v>
      </c>
      <c r="J105" s="2">
        <v>1785</v>
      </c>
      <c r="K105" s="2">
        <v>2785</v>
      </c>
      <c r="L105" s="10">
        <v>1000</v>
      </c>
    </row>
    <row r="106" spans="1:12">
      <c r="A106" s="9">
        <v>45989</v>
      </c>
      <c r="B106" s="2" t="s">
        <v>46</v>
      </c>
      <c r="C106" s="2" t="s">
        <v>36</v>
      </c>
      <c r="D106" s="2" t="s">
        <v>50</v>
      </c>
      <c r="E106" s="2" t="s">
        <v>22</v>
      </c>
      <c r="F106" s="2" t="s">
        <v>21</v>
      </c>
      <c r="G106" s="2">
        <v>3</v>
      </c>
      <c r="H106" s="2">
        <v>240</v>
      </c>
      <c r="I106" s="2">
        <v>468</v>
      </c>
      <c r="J106" s="2">
        <v>720</v>
      </c>
      <c r="K106" s="2">
        <v>1404</v>
      </c>
      <c r="L106" s="10">
        <v>684</v>
      </c>
    </row>
    <row r="107" spans="1:12">
      <c r="A107" s="9">
        <v>45994</v>
      </c>
      <c r="B107" s="2" t="s">
        <v>24</v>
      </c>
      <c r="C107" s="2" t="s">
        <v>36</v>
      </c>
      <c r="D107" s="2" t="s">
        <v>37</v>
      </c>
      <c r="E107" s="2" t="s">
        <v>26</v>
      </c>
      <c r="F107" s="2" t="s">
        <v>16</v>
      </c>
      <c r="G107" s="2">
        <v>2</v>
      </c>
      <c r="H107" s="2">
        <v>182</v>
      </c>
      <c r="I107" s="2">
        <v>326</v>
      </c>
      <c r="J107" s="2">
        <v>364</v>
      </c>
      <c r="K107" s="2">
        <v>652</v>
      </c>
      <c r="L107" s="10">
        <v>288</v>
      </c>
    </row>
    <row r="108" spans="1:12">
      <c r="A108" s="9">
        <v>46006</v>
      </c>
      <c r="B108" s="2" t="s">
        <v>30</v>
      </c>
      <c r="C108" s="2" t="s">
        <v>28</v>
      </c>
      <c r="D108" s="2" t="s">
        <v>51</v>
      </c>
      <c r="E108" s="2" t="s">
        <v>26</v>
      </c>
      <c r="F108" s="2" t="s">
        <v>21</v>
      </c>
      <c r="G108" s="2">
        <v>6</v>
      </c>
      <c r="H108" s="2">
        <v>243</v>
      </c>
      <c r="I108" s="2">
        <v>455</v>
      </c>
      <c r="J108" s="2">
        <v>1458</v>
      </c>
      <c r="K108" s="2">
        <v>2730</v>
      </c>
      <c r="L108" s="10">
        <v>1272</v>
      </c>
    </row>
    <row r="109" spans="1:12">
      <c r="A109" s="9">
        <v>46021</v>
      </c>
      <c r="B109" s="2" t="s">
        <v>32</v>
      </c>
      <c r="C109" s="2" t="s">
        <v>33</v>
      </c>
      <c r="D109" s="2" t="s">
        <v>40</v>
      </c>
      <c r="E109" s="2" t="s">
        <v>26</v>
      </c>
      <c r="F109" s="2" t="s">
        <v>21</v>
      </c>
      <c r="G109" s="2">
        <v>2</v>
      </c>
      <c r="H109" s="2">
        <v>186</v>
      </c>
      <c r="I109" s="2">
        <v>390</v>
      </c>
      <c r="J109" s="2">
        <v>372</v>
      </c>
      <c r="K109" s="2">
        <v>780</v>
      </c>
      <c r="L109" s="10">
        <v>408</v>
      </c>
    </row>
    <row r="110" spans="1:12">
      <c r="A110" s="9">
        <v>45660</v>
      </c>
      <c r="B110" s="2" t="s">
        <v>30</v>
      </c>
      <c r="C110" s="2" t="s">
        <v>36</v>
      </c>
      <c r="D110" s="2" t="s">
        <v>45</v>
      </c>
      <c r="E110" s="2" t="s">
        <v>15</v>
      </c>
      <c r="F110" s="2" t="s">
        <v>21</v>
      </c>
      <c r="G110" s="2">
        <v>9</v>
      </c>
      <c r="H110" s="2">
        <v>248</v>
      </c>
      <c r="I110" s="2">
        <v>377</v>
      </c>
      <c r="J110" s="2">
        <v>2232</v>
      </c>
      <c r="K110" s="2">
        <v>3393</v>
      </c>
      <c r="L110" s="10">
        <v>1161</v>
      </c>
    </row>
    <row r="111" spans="1:12">
      <c r="A111" s="9">
        <v>45673</v>
      </c>
      <c r="B111" s="2" t="s">
        <v>32</v>
      </c>
      <c r="C111" s="2" t="s">
        <v>36</v>
      </c>
      <c r="D111" s="2" t="s">
        <v>45</v>
      </c>
      <c r="E111" s="2" t="s">
        <v>26</v>
      </c>
      <c r="F111" s="2" t="s">
        <v>16</v>
      </c>
      <c r="G111" s="2">
        <v>10</v>
      </c>
      <c r="H111" s="2">
        <v>161</v>
      </c>
      <c r="I111" s="2">
        <v>418</v>
      </c>
      <c r="J111" s="2">
        <v>1610</v>
      </c>
      <c r="K111" s="2">
        <v>4180</v>
      </c>
      <c r="L111" s="10">
        <v>2570</v>
      </c>
    </row>
    <row r="112" spans="1:12">
      <c r="A112" s="9">
        <v>45686</v>
      </c>
      <c r="B112" s="2" t="s">
        <v>30</v>
      </c>
      <c r="C112" s="2" t="s">
        <v>13</v>
      </c>
      <c r="D112" s="2" t="s">
        <v>14</v>
      </c>
      <c r="E112" s="2" t="s">
        <v>20</v>
      </c>
      <c r="F112" s="2" t="s">
        <v>21</v>
      </c>
      <c r="G112" s="2">
        <v>6</v>
      </c>
      <c r="H112" s="2">
        <v>278</v>
      </c>
      <c r="I112" s="2">
        <v>370</v>
      </c>
      <c r="J112" s="2">
        <v>1668</v>
      </c>
      <c r="K112" s="2">
        <v>2220</v>
      </c>
      <c r="L112" s="10">
        <v>552</v>
      </c>
    </row>
    <row r="113" spans="1:12">
      <c r="A113" s="9">
        <v>45692</v>
      </c>
      <c r="B113" s="2" t="s">
        <v>30</v>
      </c>
      <c r="C113" s="2" t="s">
        <v>13</v>
      </c>
      <c r="D113" s="2" t="s">
        <v>35</v>
      </c>
      <c r="E113" s="2" t="s">
        <v>26</v>
      </c>
      <c r="F113" s="2" t="s">
        <v>16</v>
      </c>
      <c r="G113" s="2">
        <v>3</v>
      </c>
      <c r="H113" s="2">
        <v>276</v>
      </c>
      <c r="I113" s="2">
        <v>495</v>
      </c>
      <c r="J113" s="2">
        <v>828</v>
      </c>
      <c r="K113" s="2">
        <v>1485</v>
      </c>
      <c r="L113" s="10">
        <v>657</v>
      </c>
    </row>
    <row r="114" spans="1:12">
      <c r="A114" s="9">
        <v>45704</v>
      </c>
      <c r="B114" s="2" t="s">
        <v>17</v>
      </c>
      <c r="C114" s="2" t="s">
        <v>28</v>
      </c>
      <c r="D114" s="2" t="s">
        <v>51</v>
      </c>
      <c r="E114" s="2" t="s">
        <v>20</v>
      </c>
      <c r="F114" s="2" t="s">
        <v>16</v>
      </c>
      <c r="G114" s="2">
        <v>9</v>
      </c>
      <c r="H114" s="2">
        <v>346</v>
      </c>
      <c r="I114" s="2">
        <v>457</v>
      </c>
      <c r="J114" s="2">
        <v>3114</v>
      </c>
      <c r="K114" s="2">
        <v>4113</v>
      </c>
      <c r="L114" s="10">
        <v>999</v>
      </c>
    </row>
    <row r="115" spans="1:12">
      <c r="A115" s="9">
        <v>45714</v>
      </c>
      <c r="B115" s="2" t="s">
        <v>32</v>
      </c>
      <c r="C115" s="2" t="s">
        <v>33</v>
      </c>
      <c r="D115" s="2" t="s">
        <v>40</v>
      </c>
      <c r="E115" s="2" t="s">
        <v>22</v>
      </c>
      <c r="F115" s="2" t="s">
        <v>21</v>
      </c>
      <c r="G115" s="2">
        <v>1</v>
      </c>
      <c r="H115" s="2">
        <v>107</v>
      </c>
      <c r="I115" s="2">
        <v>237</v>
      </c>
      <c r="J115" s="2">
        <v>107</v>
      </c>
      <c r="K115" s="2">
        <v>237</v>
      </c>
      <c r="L115" s="10">
        <v>130</v>
      </c>
    </row>
    <row r="116" spans="1:12">
      <c r="A116" s="9">
        <v>45721</v>
      </c>
      <c r="B116" s="2" t="s">
        <v>12</v>
      </c>
      <c r="C116" s="2" t="s">
        <v>18</v>
      </c>
      <c r="D116" s="2" t="s">
        <v>41</v>
      </c>
      <c r="E116" s="2" t="s">
        <v>20</v>
      </c>
      <c r="F116" s="2" t="s">
        <v>16</v>
      </c>
      <c r="G116" s="2">
        <v>5</v>
      </c>
      <c r="H116" s="2">
        <v>490</v>
      </c>
      <c r="I116" s="2">
        <v>713</v>
      </c>
      <c r="J116" s="2">
        <v>2450</v>
      </c>
      <c r="K116" s="2">
        <v>3565</v>
      </c>
      <c r="L116" s="10">
        <v>1115</v>
      </c>
    </row>
    <row r="117" spans="1:12">
      <c r="A117" s="9">
        <v>45733</v>
      </c>
      <c r="B117" s="2" t="s">
        <v>38</v>
      </c>
      <c r="C117" s="2" t="s">
        <v>18</v>
      </c>
      <c r="D117" s="2" t="s">
        <v>25</v>
      </c>
      <c r="E117" s="2" t="s">
        <v>20</v>
      </c>
      <c r="F117" s="2" t="s">
        <v>16</v>
      </c>
      <c r="G117" s="2">
        <v>4</v>
      </c>
      <c r="H117" s="2">
        <v>392</v>
      </c>
      <c r="I117" s="2">
        <v>630</v>
      </c>
      <c r="J117" s="2">
        <v>1568</v>
      </c>
      <c r="K117" s="2">
        <v>2520</v>
      </c>
      <c r="L117" s="10">
        <v>952</v>
      </c>
    </row>
    <row r="118" spans="1:12">
      <c r="A118" s="9">
        <v>45747</v>
      </c>
      <c r="B118" s="2" t="s">
        <v>27</v>
      </c>
      <c r="C118" s="2" t="s">
        <v>28</v>
      </c>
      <c r="D118" s="2" t="s">
        <v>51</v>
      </c>
      <c r="E118" s="2" t="s">
        <v>20</v>
      </c>
      <c r="F118" s="2" t="s">
        <v>16</v>
      </c>
      <c r="G118" s="2">
        <v>1</v>
      </c>
      <c r="H118" s="2">
        <v>348</v>
      </c>
      <c r="I118" s="2">
        <v>549</v>
      </c>
      <c r="J118" s="2">
        <v>348</v>
      </c>
      <c r="K118" s="2">
        <v>549</v>
      </c>
      <c r="L118" s="10">
        <v>201</v>
      </c>
    </row>
    <row r="119" spans="1:12">
      <c r="A119" s="9">
        <v>45753</v>
      </c>
      <c r="B119" s="2" t="s">
        <v>27</v>
      </c>
      <c r="C119" s="2" t="s">
        <v>28</v>
      </c>
      <c r="D119" s="2" t="s">
        <v>56</v>
      </c>
      <c r="E119" s="2" t="s">
        <v>15</v>
      </c>
      <c r="F119" s="2" t="s">
        <v>16</v>
      </c>
      <c r="G119" s="2">
        <v>3</v>
      </c>
      <c r="H119" s="2">
        <v>144</v>
      </c>
      <c r="I119" s="2">
        <v>439</v>
      </c>
      <c r="J119" s="2">
        <v>432</v>
      </c>
      <c r="K119" s="2">
        <v>1317</v>
      </c>
      <c r="L119" s="10">
        <v>885</v>
      </c>
    </row>
    <row r="120" spans="1:12">
      <c r="A120" s="9">
        <v>45765</v>
      </c>
      <c r="B120" s="2" t="s">
        <v>38</v>
      </c>
      <c r="C120" s="2" t="s">
        <v>33</v>
      </c>
      <c r="D120" s="2" t="s">
        <v>42</v>
      </c>
      <c r="E120" s="2" t="s">
        <v>15</v>
      </c>
      <c r="F120" s="2" t="s">
        <v>16</v>
      </c>
      <c r="G120" s="2">
        <v>3</v>
      </c>
      <c r="H120" s="2">
        <v>472</v>
      </c>
      <c r="I120" s="2">
        <v>716</v>
      </c>
      <c r="J120" s="2">
        <v>1416</v>
      </c>
      <c r="K120" s="2">
        <v>2148</v>
      </c>
      <c r="L120" s="10">
        <v>732</v>
      </c>
    </row>
    <row r="121" spans="1:12">
      <c r="A121" s="9">
        <v>45775</v>
      </c>
      <c r="B121" s="2" t="s">
        <v>24</v>
      </c>
      <c r="C121" s="2" t="s">
        <v>33</v>
      </c>
      <c r="D121" s="2" t="s">
        <v>40</v>
      </c>
      <c r="E121" s="2" t="s">
        <v>31</v>
      </c>
      <c r="F121" s="2" t="s">
        <v>16</v>
      </c>
      <c r="G121" s="2">
        <v>3</v>
      </c>
      <c r="H121" s="2">
        <v>259</v>
      </c>
      <c r="I121" s="2">
        <v>435</v>
      </c>
      <c r="J121" s="2">
        <v>777</v>
      </c>
      <c r="K121" s="2">
        <v>1305</v>
      </c>
      <c r="L121" s="10">
        <v>528</v>
      </c>
    </row>
    <row r="122" spans="1:12">
      <c r="A122" s="9">
        <v>45781</v>
      </c>
      <c r="B122" s="2" t="s">
        <v>17</v>
      </c>
      <c r="C122" s="2" t="s">
        <v>28</v>
      </c>
      <c r="D122" s="2" t="s">
        <v>49</v>
      </c>
      <c r="E122" s="2" t="s">
        <v>20</v>
      </c>
      <c r="F122" s="2" t="s">
        <v>16</v>
      </c>
      <c r="G122" s="2">
        <v>2</v>
      </c>
      <c r="H122" s="2">
        <v>450</v>
      </c>
      <c r="I122" s="2">
        <v>690</v>
      </c>
      <c r="J122" s="2">
        <v>900</v>
      </c>
      <c r="K122" s="2">
        <v>1380</v>
      </c>
      <c r="L122" s="10">
        <v>480</v>
      </c>
    </row>
    <row r="123" spans="1:12">
      <c r="A123" s="9">
        <v>45794</v>
      </c>
      <c r="B123" s="2" t="s">
        <v>38</v>
      </c>
      <c r="C123" s="2" t="s">
        <v>13</v>
      </c>
      <c r="D123" s="2" t="s">
        <v>14</v>
      </c>
      <c r="E123" s="2" t="s">
        <v>15</v>
      </c>
      <c r="F123" s="2" t="s">
        <v>21</v>
      </c>
      <c r="G123" s="2">
        <v>5</v>
      </c>
      <c r="H123" s="2">
        <v>147</v>
      </c>
      <c r="I123" s="2">
        <v>282</v>
      </c>
      <c r="J123" s="2">
        <v>735</v>
      </c>
      <c r="K123" s="2">
        <v>1410</v>
      </c>
      <c r="L123" s="10">
        <v>675</v>
      </c>
    </row>
    <row r="124" spans="1:12">
      <c r="A124" s="9">
        <v>45806</v>
      </c>
      <c r="B124" s="2" t="s">
        <v>30</v>
      </c>
      <c r="C124" s="2" t="s">
        <v>13</v>
      </c>
      <c r="D124" s="2" t="s">
        <v>53</v>
      </c>
      <c r="E124" s="2" t="s">
        <v>31</v>
      </c>
      <c r="F124" s="2" t="s">
        <v>16</v>
      </c>
      <c r="G124" s="2">
        <v>3</v>
      </c>
      <c r="H124" s="2">
        <v>154</v>
      </c>
      <c r="I124" s="2">
        <v>365</v>
      </c>
      <c r="J124" s="2">
        <v>462</v>
      </c>
      <c r="K124" s="2">
        <v>1095</v>
      </c>
      <c r="L124" s="10">
        <v>633</v>
      </c>
    </row>
    <row r="125" spans="1:12">
      <c r="A125" s="9">
        <v>45813</v>
      </c>
      <c r="B125" s="2" t="s">
        <v>32</v>
      </c>
      <c r="C125" s="2" t="s">
        <v>33</v>
      </c>
      <c r="D125" s="2" t="s">
        <v>34</v>
      </c>
      <c r="E125" s="2" t="s">
        <v>22</v>
      </c>
      <c r="F125" s="2" t="s">
        <v>16</v>
      </c>
      <c r="G125" s="2">
        <v>4</v>
      </c>
      <c r="H125" s="2">
        <v>397</v>
      </c>
      <c r="I125" s="2">
        <v>489</v>
      </c>
      <c r="J125" s="2">
        <v>1588</v>
      </c>
      <c r="K125" s="2">
        <v>1956</v>
      </c>
      <c r="L125" s="10">
        <v>368</v>
      </c>
    </row>
    <row r="126" spans="1:12">
      <c r="A126" s="9">
        <v>45825</v>
      </c>
      <c r="B126" s="2" t="s">
        <v>12</v>
      </c>
      <c r="C126" s="2" t="s">
        <v>28</v>
      </c>
      <c r="D126" s="2" t="s">
        <v>51</v>
      </c>
      <c r="E126" s="2" t="s">
        <v>22</v>
      </c>
      <c r="F126" s="2" t="s">
        <v>16</v>
      </c>
      <c r="G126" s="2">
        <v>5</v>
      </c>
      <c r="H126" s="2">
        <v>130</v>
      </c>
      <c r="I126" s="2">
        <v>307</v>
      </c>
      <c r="J126" s="2">
        <v>650</v>
      </c>
      <c r="K126" s="2">
        <v>1535</v>
      </c>
      <c r="L126" s="10">
        <v>885</v>
      </c>
    </row>
    <row r="127" spans="1:12">
      <c r="A127" s="9">
        <v>45838</v>
      </c>
      <c r="B127" s="2" t="s">
        <v>32</v>
      </c>
      <c r="C127" s="2" t="s">
        <v>33</v>
      </c>
      <c r="D127" s="2" t="s">
        <v>39</v>
      </c>
      <c r="E127" s="2" t="s">
        <v>26</v>
      </c>
      <c r="F127" s="2" t="s">
        <v>16</v>
      </c>
      <c r="G127" s="2">
        <v>1</v>
      </c>
      <c r="H127" s="2">
        <v>314</v>
      </c>
      <c r="I127" s="2">
        <v>481</v>
      </c>
      <c r="J127" s="2">
        <v>314</v>
      </c>
      <c r="K127" s="2">
        <v>481</v>
      </c>
      <c r="L127" s="10">
        <v>167</v>
      </c>
    </row>
    <row r="128" spans="1:12">
      <c r="A128" s="9">
        <v>45845</v>
      </c>
      <c r="B128" s="2" t="s">
        <v>32</v>
      </c>
      <c r="C128" s="2" t="s">
        <v>18</v>
      </c>
      <c r="D128" s="2" t="s">
        <v>25</v>
      </c>
      <c r="E128" s="2" t="s">
        <v>15</v>
      </c>
      <c r="F128" s="2" t="s">
        <v>16</v>
      </c>
      <c r="G128" s="2">
        <v>1</v>
      </c>
      <c r="H128" s="2">
        <v>144</v>
      </c>
      <c r="I128" s="2">
        <v>229</v>
      </c>
      <c r="J128" s="2">
        <v>144</v>
      </c>
      <c r="K128" s="2">
        <v>229</v>
      </c>
      <c r="L128" s="10">
        <v>85</v>
      </c>
    </row>
    <row r="129" spans="1:12">
      <c r="A129" s="9">
        <v>45857</v>
      </c>
      <c r="B129" s="2" t="s">
        <v>17</v>
      </c>
      <c r="C129" s="2" t="s">
        <v>33</v>
      </c>
      <c r="D129" s="2" t="s">
        <v>39</v>
      </c>
      <c r="E129" s="2" t="s">
        <v>31</v>
      </c>
      <c r="F129" s="2" t="s">
        <v>16</v>
      </c>
      <c r="G129" s="2">
        <v>6</v>
      </c>
      <c r="H129" s="2">
        <v>285</v>
      </c>
      <c r="I129" s="2">
        <v>472</v>
      </c>
      <c r="J129" s="2">
        <v>1710</v>
      </c>
      <c r="K129" s="2">
        <v>2832</v>
      </c>
      <c r="L129" s="10">
        <v>1122</v>
      </c>
    </row>
    <row r="130" spans="1:12">
      <c r="A130" s="9">
        <v>45866</v>
      </c>
      <c r="B130" s="2" t="s">
        <v>12</v>
      </c>
      <c r="C130" s="2" t="s">
        <v>36</v>
      </c>
      <c r="D130" s="2" t="s">
        <v>47</v>
      </c>
      <c r="E130" s="2" t="s">
        <v>22</v>
      </c>
      <c r="F130" s="2" t="s">
        <v>21</v>
      </c>
      <c r="G130" s="2">
        <v>4</v>
      </c>
      <c r="H130" s="2">
        <v>227</v>
      </c>
      <c r="I130" s="2">
        <v>505</v>
      </c>
      <c r="J130" s="2">
        <v>908</v>
      </c>
      <c r="K130" s="2">
        <v>2020</v>
      </c>
      <c r="L130" s="10">
        <v>1112</v>
      </c>
    </row>
    <row r="131" spans="1:12">
      <c r="A131" s="9">
        <v>45874</v>
      </c>
      <c r="B131" s="2" t="s">
        <v>24</v>
      </c>
      <c r="C131" s="2" t="s">
        <v>18</v>
      </c>
      <c r="D131" s="2" t="s">
        <v>25</v>
      </c>
      <c r="E131" s="2" t="s">
        <v>20</v>
      </c>
      <c r="F131" s="2" t="s">
        <v>21</v>
      </c>
      <c r="G131" s="2">
        <v>10</v>
      </c>
      <c r="H131" s="2">
        <v>257</v>
      </c>
      <c r="I131" s="2">
        <v>460</v>
      </c>
      <c r="J131" s="2">
        <v>2570</v>
      </c>
      <c r="K131" s="2">
        <v>4600</v>
      </c>
      <c r="L131" s="10">
        <v>2030</v>
      </c>
    </row>
    <row r="132" spans="1:12">
      <c r="A132" s="9">
        <v>45886</v>
      </c>
      <c r="B132" s="2" t="s">
        <v>46</v>
      </c>
      <c r="C132" s="2" t="s">
        <v>36</v>
      </c>
      <c r="D132" s="2" t="s">
        <v>50</v>
      </c>
      <c r="E132" s="2" t="s">
        <v>31</v>
      </c>
      <c r="F132" s="2" t="s">
        <v>21</v>
      </c>
      <c r="G132" s="2">
        <v>3</v>
      </c>
      <c r="H132" s="2">
        <v>214</v>
      </c>
      <c r="I132" s="2">
        <v>422</v>
      </c>
      <c r="J132" s="2">
        <v>642</v>
      </c>
      <c r="K132" s="2">
        <v>1266</v>
      </c>
      <c r="L132" s="10">
        <v>624</v>
      </c>
    </row>
    <row r="133" spans="1:12">
      <c r="A133" s="9">
        <v>45898</v>
      </c>
      <c r="B133" s="2" t="s">
        <v>27</v>
      </c>
      <c r="C133" s="2" t="s">
        <v>13</v>
      </c>
      <c r="D133" s="2" t="s">
        <v>52</v>
      </c>
      <c r="E133" s="2" t="s">
        <v>22</v>
      </c>
      <c r="F133" s="2" t="s">
        <v>21</v>
      </c>
      <c r="G133" s="2">
        <v>3</v>
      </c>
      <c r="H133" s="2">
        <v>149</v>
      </c>
      <c r="I133" s="2">
        <v>442</v>
      </c>
      <c r="J133" s="2">
        <v>447</v>
      </c>
      <c r="K133" s="2">
        <v>1326</v>
      </c>
      <c r="L133" s="10">
        <v>879</v>
      </c>
    </row>
    <row r="134" spans="1:12">
      <c r="A134" s="9">
        <v>45903</v>
      </c>
      <c r="B134" s="2" t="s">
        <v>27</v>
      </c>
      <c r="C134" s="2" t="s">
        <v>28</v>
      </c>
      <c r="D134" s="2" t="s">
        <v>49</v>
      </c>
      <c r="E134" s="2" t="s">
        <v>22</v>
      </c>
      <c r="F134" s="2" t="s">
        <v>21</v>
      </c>
      <c r="G134" s="2">
        <v>8</v>
      </c>
      <c r="H134" s="2">
        <v>221</v>
      </c>
      <c r="I134" s="2">
        <v>324</v>
      </c>
      <c r="J134" s="2">
        <v>1768</v>
      </c>
      <c r="K134" s="2">
        <v>2592</v>
      </c>
      <c r="L134" s="10">
        <v>824</v>
      </c>
    </row>
    <row r="135" spans="1:12">
      <c r="A135" s="9">
        <v>45915</v>
      </c>
      <c r="B135" s="2" t="s">
        <v>17</v>
      </c>
      <c r="C135" s="2" t="s">
        <v>36</v>
      </c>
      <c r="D135" s="2" t="s">
        <v>37</v>
      </c>
      <c r="E135" s="2" t="s">
        <v>15</v>
      </c>
      <c r="F135" s="2" t="s">
        <v>16</v>
      </c>
      <c r="G135" s="2">
        <v>4</v>
      </c>
      <c r="H135" s="2">
        <v>389</v>
      </c>
      <c r="I135" s="2">
        <v>471</v>
      </c>
      <c r="J135" s="2">
        <v>1556</v>
      </c>
      <c r="K135" s="2">
        <v>1884</v>
      </c>
      <c r="L135" s="10">
        <v>328</v>
      </c>
    </row>
    <row r="136" spans="1:12">
      <c r="A136" s="9">
        <v>45927</v>
      </c>
      <c r="B136" s="2" t="s">
        <v>38</v>
      </c>
      <c r="C136" s="2" t="s">
        <v>13</v>
      </c>
      <c r="D136" s="2" t="s">
        <v>52</v>
      </c>
      <c r="E136" s="2" t="s">
        <v>31</v>
      </c>
      <c r="F136" s="2" t="s">
        <v>21</v>
      </c>
      <c r="G136" s="2">
        <v>9</v>
      </c>
      <c r="H136" s="2">
        <v>197</v>
      </c>
      <c r="I136" s="2">
        <v>334</v>
      </c>
      <c r="J136" s="2">
        <v>1773</v>
      </c>
      <c r="K136" s="2">
        <v>3006</v>
      </c>
      <c r="L136" s="10">
        <v>1233</v>
      </c>
    </row>
    <row r="137" spans="1:12">
      <c r="A137" s="9">
        <v>45934</v>
      </c>
      <c r="B137" s="2" t="s">
        <v>30</v>
      </c>
      <c r="C137" s="2" t="s">
        <v>18</v>
      </c>
      <c r="D137" s="2" t="s">
        <v>23</v>
      </c>
      <c r="E137" s="2" t="s">
        <v>26</v>
      </c>
      <c r="F137" s="2" t="s">
        <v>16</v>
      </c>
      <c r="G137" s="2">
        <v>8</v>
      </c>
      <c r="H137" s="2">
        <v>252</v>
      </c>
      <c r="I137" s="2">
        <v>515</v>
      </c>
      <c r="J137" s="2">
        <v>2016</v>
      </c>
      <c r="K137" s="2">
        <v>4120</v>
      </c>
      <c r="L137" s="10">
        <v>2104</v>
      </c>
    </row>
    <row r="138" spans="1:12">
      <c r="A138" s="9">
        <v>45946</v>
      </c>
      <c r="B138" s="2" t="s">
        <v>24</v>
      </c>
      <c r="C138" s="2" t="s">
        <v>36</v>
      </c>
      <c r="D138" s="2" t="s">
        <v>47</v>
      </c>
      <c r="E138" s="2" t="s">
        <v>31</v>
      </c>
      <c r="F138" s="2" t="s">
        <v>16</v>
      </c>
      <c r="G138" s="2">
        <v>10</v>
      </c>
      <c r="H138" s="2">
        <v>363</v>
      </c>
      <c r="I138" s="2">
        <v>532</v>
      </c>
      <c r="J138" s="2">
        <v>3630</v>
      </c>
      <c r="K138" s="2">
        <v>5320</v>
      </c>
      <c r="L138" s="10">
        <v>1690</v>
      </c>
    </row>
    <row r="139" spans="1:12">
      <c r="A139" s="9">
        <v>45958</v>
      </c>
      <c r="B139" s="2" t="s">
        <v>46</v>
      </c>
      <c r="C139" s="2" t="s">
        <v>28</v>
      </c>
      <c r="D139" s="2" t="s">
        <v>49</v>
      </c>
      <c r="E139" s="2" t="s">
        <v>20</v>
      </c>
      <c r="F139" s="2" t="s">
        <v>21</v>
      </c>
      <c r="G139" s="2">
        <v>5</v>
      </c>
      <c r="H139" s="2">
        <v>142</v>
      </c>
      <c r="I139" s="2">
        <v>254</v>
      </c>
      <c r="J139" s="2">
        <v>710</v>
      </c>
      <c r="K139" s="2">
        <v>1270</v>
      </c>
      <c r="L139" s="10">
        <v>560</v>
      </c>
    </row>
    <row r="140" spans="1:12">
      <c r="A140" s="9">
        <v>45964</v>
      </c>
      <c r="B140" s="2" t="s">
        <v>12</v>
      </c>
      <c r="C140" s="2" t="s">
        <v>28</v>
      </c>
      <c r="D140" s="2" t="s">
        <v>51</v>
      </c>
      <c r="E140" s="2" t="s">
        <v>31</v>
      </c>
      <c r="F140" s="2" t="s">
        <v>16</v>
      </c>
      <c r="G140" s="2">
        <v>9</v>
      </c>
      <c r="H140" s="2">
        <v>217</v>
      </c>
      <c r="I140" s="2">
        <v>467</v>
      </c>
      <c r="J140" s="2">
        <v>1953</v>
      </c>
      <c r="K140" s="2">
        <v>4203</v>
      </c>
      <c r="L140" s="10">
        <v>2250</v>
      </c>
    </row>
    <row r="141" spans="1:12">
      <c r="A141" s="9">
        <v>45976</v>
      </c>
      <c r="B141" s="2" t="s">
        <v>24</v>
      </c>
      <c r="C141" s="2" t="s">
        <v>18</v>
      </c>
      <c r="D141" s="2" t="s">
        <v>41</v>
      </c>
      <c r="E141" s="2" t="s">
        <v>26</v>
      </c>
      <c r="F141" s="2" t="s">
        <v>16</v>
      </c>
      <c r="G141" s="2">
        <v>10</v>
      </c>
      <c r="H141" s="2">
        <v>356</v>
      </c>
      <c r="I141" s="2">
        <v>592</v>
      </c>
      <c r="J141" s="2">
        <v>3560</v>
      </c>
      <c r="K141" s="2">
        <v>5920</v>
      </c>
      <c r="L141" s="10">
        <v>2360</v>
      </c>
    </row>
    <row r="142" spans="1:12">
      <c r="A142" s="9">
        <v>45988</v>
      </c>
      <c r="B142" s="2" t="s">
        <v>12</v>
      </c>
      <c r="C142" s="2" t="s">
        <v>33</v>
      </c>
      <c r="D142" s="2" t="s">
        <v>55</v>
      </c>
      <c r="E142" s="2" t="s">
        <v>15</v>
      </c>
      <c r="F142" s="2" t="s">
        <v>21</v>
      </c>
      <c r="G142" s="2">
        <v>3</v>
      </c>
      <c r="H142" s="2">
        <v>211</v>
      </c>
      <c r="I142" s="2">
        <v>381</v>
      </c>
      <c r="J142" s="2">
        <v>633</v>
      </c>
      <c r="K142" s="2">
        <v>1143</v>
      </c>
      <c r="L142" s="10">
        <v>510</v>
      </c>
    </row>
    <row r="143" spans="1:12">
      <c r="A143" s="9">
        <v>45993</v>
      </c>
      <c r="B143" s="2" t="s">
        <v>30</v>
      </c>
      <c r="C143" s="2" t="s">
        <v>13</v>
      </c>
      <c r="D143" s="2" t="s">
        <v>53</v>
      </c>
      <c r="E143" s="2" t="s">
        <v>26</v>
      </c>
      <c r="F143" s="2" t="s">
        <v>21</v>
      </c>
      <c r="G143" s="2">
        <v>9</v>
      </c>
      <c r="H143" s="2">
        <v>146</v>
      </c>
      <c r="I143" s="2">
        <v>222</v>
      </c>
      <c r="J143" s="2">
        <v>1314</v>
      </c>
      <c r="K143" s="2">
        <v>1998</v>
      </c>
      <c r="L143" s="10">
        <v>684</v>
      </c>
    </row>
    <row r="144" spans="1:12">
      <c r="A144" s="9">
        <v>46005</v>
      </c>
      <c r="B144" s="2" t="s">
        <v>12</v>
      </c>
      <c r="C144" s="2" t="s">
        <v>36</v>
      </c>
      <c r="D144" s="2" t="s">
        <v>50</v>
      </c>
      <c r="E144" s="2" t="s">
        <v>20</v>
      </c>
      <c r="F144" s="2" t="s">
        <v>21</v>
      </c>
      <c r="G144" s="2">
        <v>9</v>
      </c>
      <c r="H144" s="2">
        <v>181</v>
      </c>
      <c r="I144" s="2">
        <v>246</v>
      </c>
      <c r="J144" s="2">
        <v>1629</v>
      </c>
      <c r="K144" s="2">
        <v>2214</v>
      </c>
      <c r="L144" s="10">
        <v>585</v>
      </c>
    </row>
    <row r="145" spans="1:12">
      <c r="A145" s="9">
        <v>46020</v>
      </c>
      <c r="B145" s="2" t="s">
        <v>46</v>
      </c>
      <c r="C145" s="2" t="s">
        <v>33</v>
      </c>
      <c r="D145" s="2" t="s">
        <v>55</v>
      </c>
      <c r="E145" s="2" t="s">
        <v>20</v>
      </c>
      <c r="F145" s="2" t="s">
        <v>16</v>
      </c>
      <c r="G145" s="2">
        <v>6</v>
      </c>
      <c r="H145" s="2">
        <v>148</v>
      </c>
      <c r="I145" s="2">
        <v>249</v>
      </c>
      <c r="J145" s="2">
        <v>888</v>
      </c>
      <c r="K145" s="2">
        <v>1494</v>
      </c>
      <c r="L145" s="10">
        <v>606</v>
      </c>
    </row>
    <row r="146" spans="1:12">
      <c r="A146" s="9">
        <v>45658</v>
      </c>
      <c r="B146" s="2" t="s">
        <v>27</v>
      </c>
      <c r="C146" s="2" t="s">
        <v>18</v>
      </c>
      <c r="D146" s="2" t="s">
        <v>23</v>
      </c>
      <c r="E146" s="2" t="s">
        <v>20</v>
      </c>
      <c r="F146" s="2" t="s">
        <v>16</v>
      </c>
      <c r="G146" s="2">
        <v>7</v>
      </c>
      <c r="H146" s="2">
        <v>239</v>
      </c>
      <c r="I146" s="2">
        <v>352</v>
      </c>
      <c r="J146" s="2">
        <v>1673</v>
      </c>
      <c r="K146" s="2">
        <v>2464</v>
      </c>
      <c r="L146" s="10">
        <v>791</v>
      </c>
    </row>
    <row r="147" spans="1:12">
      <c r="A147" s="9">
        <v>45670</v>
      </c>
      <c r="B147" s="2" t="s">
        <v>38</v>
      </c>
      <c r="C147" s="2" t="s">
        <v>36</v>
      </c>
      <c r="D147" s="2" t="s">
        <v>45</v>
      </c>
      <c r="E147" s="2" t="s">
        <v>26</v>
      </c>
      <c r="F147" s="2" t="s">
        <v>21</v>
      </c>
      <c r="G147" s="2">
        <v>8</v>
      </c>
      <c r="H147" s="2">
        <v>285</v>
      </c>
      <c r="I147" s="2">
        <v>449</v>
      </c>
      <c r="J147" s="2">
        <v>2280</v>
      </c>
      <c r="K147" s="2">
        <v>3592</v>
      </c>
      <c r="L147" s="10">
        <v>1312</v>
      </c>
    </row>
    <row r="148" spans="1:12">
      <c r="A148" s="9">
        <v>45683</v>
      </c>
      <c r="B148" s="2" t="s">
        <v>38</v>
      </c>
      <c r="C148" s="2" t="s">
        <v>33</v>
      </c>
      <c r="D148" s="2" t="s">
        <v>39</v>
      </c>
      <c r="E148" s="2" t="s">
        <v>31</v>
      </c>
      <c r="F148" s="2" t="s">
        <v>21</v>
      </c>
      <c r="G148" s="2">
        <v>6</v>
      </c>
      <c r="H148" s="2">
        <v>114</v>
      </c>
      <c r="I148" s="2">
        <v>362</v>
      </c>
      <c r="J148" s="2">
        <v>684</v>
      </c>
      <c r="K148" s="2">
        <v>2172</v>
      </c>
      <c r="L148" s="10">
        <v>1488</v>
      </c>
    </row>
    <row r="149" spans="1:12">
      <c r="A149" s="9">
        <v>45691</v>
      </c>
      <c r="B149" s="2" t="s">
        <v>27</v>
      </c>
      <c r="C149" s="2" t="s">
        <v>13</v>
      </c>
      <c r="D149" s="2" t="s">
        <v>53</v>
      </c>
      <c r="E149" s="2" t="s">
        <v>15</v>
      </c>
      <c r="F149" s="2" t="s">
        <v>21</v>
      </c>
      <c r="G149" s="2">
        <v>4</v>
      </c>
      <c r="H149" s="2">
        <v>482</v>
      </c>
      <c r="I149" s="2">
        <v>615</v>
      </c>
      <c r="J149" s="2">
        <v>1928</v>
      </c>
      <c r="K149" s="2">
        <v>2460</v>
      </c>
      <c r="L149" s="10">
        <v>532</v>
      </c>
    </row>
    <row r="150" spans="1:12">
      <c r="A150" s="9">
        <v>45703</v>
      </c>
      <c r="B150" s="2" t="s">
        <v>12</v>
      </c>
      <c r="C150" s="2" t="s">
        <v>13</v>
      </c>
      <c r="D150" s="2" t="s">
        <v>52</v>
      </c>
      <c r="E150" s="2" t="s">
        <v>15</v>
      </c>
      <c r="F150" s="2" t="s">
        <v>21</v>
      </c>
      <c r="G150" s="2">
        <v>3</v>
      </c>
      <c r="H150" s="2">
        <v>263</v>
      </c>
      <c r="I150" s="2">
        <v>315</v>
      </c>
      <c r="J150" s="2">
        <v>789</v>
      </c>
      <c r="K150" s="2">
        <v>945</v>
      </c>
      <c r="L150" s="10">
        <v>156</v>
      </c>
    </row>
    <row r="151" spans="1:12">
      <c r="A151" s="9">
        <v>45715</v>
      </c>
      <c r="B151" s="2" t="s">
        <v>38</v>
      </c>
      <c r="C151" s="2" t="s">
        <v>28</v>
      </c>
      <c r="D151" s="2" t="s">
        <v>51</v>
      </c>
      <c r="E151" s="2" t="s">
        <v>31</v>
      </c>
      <c r="F151" s="2" t="s">
        <v>21</v>
      </c>
      <c r="G151" s="2">
        <v>5</v>
      </c>
      <c r="H151" s="2">
        <v>383</v>
      </c>
      <c r="I151" s="2">
        <v>524</v>
      </c>
      <c r="J151" s="2">
        <v>1915</v>
      </c>
      <c r="K151" s="2">
        <v>2620</v>
      </c>
      <c r="L151" s="10">
        <v>705</v>
      </c>
    </row>
    <row r="152" spans="1:12">
      <c r="A152" s="9">
        <v>45723</v>
      </c>
      <c r="B152" s="2" t="s">
        <v>12</v>
      </c>
      <c r="C152" s="2" t="s">
        <v>36</v>
      </c>
      <c r="D152" s="2" t="s">
        <v>45</v>
      </c>
      <c r="E152" s="2" t="s">
        <v>15</v>
      </c>
      <c r="F152" s="2" t="s">
        <v>16</v>
      </c>
      <c r="G152" s="2">
        <v>6</v>
      </c>
      <c r="H152" s="2">
        <v>284</v>
      </c>
      <c r="I152" s="2">
        <v>486</v>
      </c>
      <c r="J152" s="2">
        <v>1704</v>
      </c>
      <c r="K152" s="2">
        <v>2916</v>
      </c>
      <c r="L152" s="10">
        <v>1212</v>
      </c>
    </row>
    <row r="153" spans="1:12">
      <c r="A153" s="9">
        <v>45735</v>
      </c>
      <c r="B153" s="2" t="s">
        <v>24</v>
      </c>
      <c r="C153" s="2" t="s">
        <v>13</v>
      </c>
      <c r="D153" s="2" t="s">
        <v>53</v>
      </c>
      <c r="E153" s="2" t="s">
        <v>20</v>
      </c>
      <c r="F153" s="2" t="s">
        <v>21</v>
      </c>
      <c r="G153" s="2">
        <v>5</v>
      </c>
      <c r="H153" s="2">
        <v>214</v>
      </c>
      <c r="I153" s="2">
        <v>376</v>
      </c>
      <c r="J153" s="2">
        <v>1070</v>
      </c>
      <c r="K153" s="2">
        <v>1880</v>
      </c>
      <c r="L153" s="10">
        <v>810</v>
      </c>
    </row>
    <row r="154" spans="1:12">
      <c r="A154" s="9">
        <v>45746</v>
      </c>
      <c r="B154" s="2" t="s">
        <v>27</v>
      </c>
      <c r="C154" s="2" t="s">
        <v>28</v>
      </c>
      <c r="D154" s="2" t="s">
        <v>51</v>
      </c>
      <c r="E154" s="2" t="s">
        <v>26</v>
      </c>
      <c r="F154" s="2" t="s">
        <v>16</v>
      </c>
      <c r="G154" s="2">
        <v>7</v>
      </c>
      <c r="H154" s="2">
        <v>272</v>
      </c>
      <c r="I154" s="2">
        <v>405</v>
      </c>
      <c r="J154" s="2">
        <v>1904</v>
      </c>
      <c r="K154" s="2">
        <v>2835</v>
      </c>
      <c r="L154" s="10">
        <v>931</v>
      </c>
    </row>
    <row r="155" spans="1:12">
      <c r="A155" s="9">
        <v>45752</v>
      </c>
      <c r="B155" s="2" t="s">
        <v>27</v>
      </c>
      <c r="C155" s="2" t="s">
        <v>13</v>
      </c>
      <c r="D155" s="2" t="s">
        <v>35</v>
      </c>
      <c r="E155" s="2" t="s">
        <v>31</v>
      </c>
      <c r="F155" s="2" t="s">
        <v>21</v>
      </c>
      <c r="G155" s="2">
        <v>5</v>
      </c>
      <c r="H155" s="2">
        <v>343</v>
      </c>
      <c r="I155" s="2">
        <v>501</v>
      </c>
      <c r="J155" s="2">
        <v>1715</v>
      </c>
      <c r="K155" s="2">
        <v>2505</v>
      </c>
      <c r="L155" s="10">
        <v>790</v>
      </c>
    </row>
    <row r="156" spans="1:12">
      <c r="A156" s="9">
        <v>45764</v>
      </c>
      <c r="B156" s="2" t="s">
        <v>38</v>
      </c>
      <c r="C156" s="2" t="s">
        <v>33</v>
      </c>
      <c r="D156" s="2" t="s">
        <v>40</v>
      </c>
      <c r="E156" s="2" t="s">
        <v>26</v>
      </c>
      <c r="F156" s="2" t="s">
        <v>21</v>
      </c>
      <c r="G156" s="2">
        <v>3</v>
      </c>
      <c r="H156" s="2">
        <v>215</v>
      </c>
      <c r="I156" s="2">
        <v>396</v>
      </c>
      <c r="J156" s="2">
        <v>645</v>
      </c>
      <c r="K156" s="2">
        <v>1188</v>
      </c>
      <c r="L156" s="10">
        <v>543</v>
      </c>
    </row>
    <row r="157" spans="1:12">
      <c r="A157" s="9">
        <v>45776</v>
      </c>
      <c r="B157" s="2" t="s">
        <v>38</v>
      </c>
      <c r="C157" s="2" t="s">
        <v>13</v>
      </c>
      <c r="D157" s="2" t="s">
        <v>53</v>
      </c>
      <c r="E157" s="2" t="s">
        <v>15</v>
      </c>
      <c r="F157" s="2" t="s">
        <v>16</v>
      </c>
      <c r="G157" s="2">
        <v>6</v>
      </c>
      <c r="H157" s="2">
        <v>273</v>
      </c>
      <c r="I157" s="2">
        <v>420</v>
      </c>
      <c r="J157" s="2">
        <v>1638</v>
      </c>
      <c r="K157" s="2">
        <v>2520</v>
      </c>
      <c r="L157" s="10">
        <v>882</v>
      </c>
    </row>
    <row r="158" spans="1:12">
      <c r="A158" s="9">
        <v>45779</v>
      </c>
      <c r="B158" s="2" t="s">
        <v>17</v>
      </c>
      <c r="C158" s="2" t="s">
        <v>33</v>
      </c>
      <c r="D158" s="2" t="s">
        <v>42</v>
      </c>
      <c r="E158" s="2" t="s">
        <v>31</v>
      </c>
      <c r="F158" s="2" t="s">
        <v>21</v>
      </c>
      <c r="G158" s="2">
        <v>5</v>
      </c>
      <c r="H158" s="2">
        <v>491</v>
      </c>
      <c r="I158" s="2">
        <v>579</v>
      </c>
      <c r="J158" s="2">
        <v>2455</v>
      </c>
      <c r="K158" s="2">
        <v>2895</v>
      </c>
      <c r="L158" s="10">
        <v>440</v>
      </c>
    </row>
    <row r="159" spans="1:12">
      <c r="A159" s="9">
        <v>45792</v>
      </c>
      <c r="B159" s="2" t="s">
        <v>27</v>
      </c>
      <c r="C159" s="2" t="s">
        <v>13</v>
      </c>
      <c r="D159" s="2" t="s">
        <v>35</v>
      </c>
      <c r="E159" s="2" t="s">
        <v>22</v>
      </c>
      <c r="F159" s="2" t="s">
        <v>16</v>
      </c>
      <c r="G159" s="2">
        <v>10</v>
      </c>
      <c r="H159" s="2">
        <v>251</v>
      </c>
      <c r="I159" s="2">
        <v>318</v>
      </c>
      <c r="J159" s="2">
        <v>2510</v>
      </c>
      <c r="K159" s="2">
        <v>3180</v>
      </c>
      <c r="L159" s="10">
        <v>670</v>
      </c>
    </row>
    <row r="160" spans="1:12">
      <c r="A160" s="9">
        <v>45805</v>
      </c>
      <c r="B160" s="2" t="s">
        <v>46</v>
      </c>
      <c r="C160" s="2" t="s">
        <v>28</v>
      </c>
      <c r="D160" s="2" t="s">
        <v>49</v>
      </c>
      <c r="E160" s="2" t="s">
        <v>31</v>
      </c>
      <c r="F160" s="2" t="s">
        <v>16</v>
      </c>
      <c r="G160" s="2">
        <v>10</v>
      </c>
      <c r="H160" s="2">
        <v>394</v>
      </c>
      <c r="I160" s="2">
        <v>615</v>
      </c>
      <c r="J160" s="2">
        <v>3940</v>
      </c>
      <c r="K160" s="2">
        <v>6150</v>
      </c>
      <c r="L160" s="10">
        <v>2210</v>
      </c>
    </row>
    <row r="161" spans="1:12">
      <c r="A161" s="9">
        <v>45812</v>
      </c>
      <c r="B161" s="2" t="s">
        <v>30</v>
      </c>
      <c r="C161" s="2" t="s">
        <v>33</v>
      </c>
      <c r="D161" s="2" t="s">
        <v>40</v>
      </c>
      <c r="E161" s="2" t="s">
        <v>15</v>
      </c>
      <c r="F161" s="2" t="s">
        <v>16</v>
      </c>
      <c r="G161" s="2">
        <v>1</v>
      </c>
      <c r="H161" s="2">
        <v>222</v>
      </c>
      <c r="I161" s="2">
        <v>358</v>
      </c>
      <c r="J161" s="2">
        <v>222</v>
      </c>
      <c r="K161" s="2">
        <v>358</v>
      </c>
      <c r="L161" s="10">
        <v>136</v>
      </c>
    </row>
    <row r="162" spans="1:12">
      <c r="A162" s="9">
        <v>45824</v>
      </c>
      <c r="B162" s="2" t="s">
        <v>27</v>
      </c>
      <c r="C162" s="2" t="s">
        <v>36</v>
      </c>
      <c r="D162" s="2" t="s">
        <v>50</v>
      </c>
      <c r="E162" s="2" t="s">
        <v>26</v>
      </c>
      <c r="F162" s="2" t="s">
        <v>16</v>
      </c>
      <c r="G162" s="2">
        <v>7</v>
      </c>
      <c r="H162" s="2">
        <v>241</v>
      </c>
      <c r="I162" s="2">
        <v>315</v>
      </c>
      <c r="J162" s="2">
        <v>1687</v>
      </c>
      <c r="K162" s="2">
        <v>2205</v>
      </c>
      <c r="L162" s="10">
        <v>518</v>
      </c>
    </row>
    <row r="163" spans="1:12">
      <c r="A163" s="9">
        <v>45837</v>
      </c>
      <c r="B163" s="2" t="s">
        <v>12</v>
      </c>
      <c r="C163" s="2" t="s">
        <v>28</v>
      </c>
      <c r="D163" s="2" t="s">
        <v>51</v>
      </c>
      <c r="E163" s="2" t="s">
        <v>15</v>
      </c>
      <c r="F163" s="2" t="s">
        <v>21</v>
      </c>
      <c r="G163" s="2">
        <v>4</v>
      </c>
      <c r="H163" s="2">
        <v>351</v>
      </c>
      <c r="I163" s="2">
        <v>534</v>
      </c>
      <c r="J163" s="2">
        <v>1404</v>
      </c>
      <c r="K163" s="2">
        <v>2136</v>
      </c>
      <c r="L163" s="10">
        <v>732</v>
      </c>
    </row>
    <row r="164" spans="1:12">
      <c r="A164" s="9">
        <v>45844</v>
      </c>
      <c r="B164" s="2" t="s">
        <v>27</v>
      </c>
      <c r="C164" s="2" t="s">
        <v>33</v>
      </c>
      <c r="D164" s="2" t="s">
        <v>42</v>
      </c>
      <c r="E164" s="2" t="s">
        <v>15</v>
      </c>
      <c r="F164" s="2" t="s">
        <v>21</v>
      </c>
      <c r="G164" s="2">
        <v>7</v>
      </c>
      <c r="H164" s="2">
        <v>420</v>
      </c>
      <c r="I164" s="2">
        <v>692</v>
      </c>
      <c r="J164" s="2">
        <v>2940</v>
      </c>
      <c r="K164" s="2">
        <v>4844</v>
      </c>
      <c r="L164" s="10">
        <v>1904</v>
      </c>
    </row>
    <row r="165" spans="1:12">
      <c r="A165" s="9">
        <v>45856</v>
      </c>
      <c r="B165" s="2" t="s">
        <v>12</v>
      </c>
      <c r="C165" s="2" t="s">
        <v>28</v>
      </c>
      <c r="D165" s="2" t="s">
        <v>54</v>
      </c>
      <c r="E165" s="2" t="s">
        <v>15</v>
      </c>
      <c r="F165" s="2" t="s">
        <v>21</v>
      </c>
      <c r="G165" s="2">
        <v>9</v>
      </c>
      <c r="H165" s="2">
        <v>399</v>
      </c>
      <c r="I165" s="2">
        <v>511</v>
      </c>
      <c r="J165" s="2">
        <v>3591</v>
      </c>
      <c r="K165" s="2">
        <v>4599</v>
      </c>
      <c r="L165" s="10">
        <v>1008</v>
      </c>
    </row>
    <row r="166" spans="1:12">
      <c r="A166" s="9">
        <v>45868</v>
      </c>
      <c r="B166" s="2" t="s">
        <v>32</v>
      </c>
      <c r="C166" s="2" t="s">
        <v>28</v>
      </c>
      <c r="D166" s="2" t="s">
        <v>29</v>
      </c>
      <c r="E166" s="2" t="s">
        <v>26</v>
      </c>
      <c r="F166" s="2" t="s">
        <v>21</v>
      </c>
      <c r="G166" s="2">
        <v>6</v>
      </c>
      <c r="H166" s="2">
        <v>141</v>
      </c>
      <c r="I166" s="2">
        <v>337</v>
      </c>
      <c r="J166" s="2">
        <v>846</v>
      </c>
      <c r="K166" s="2">
        <v>2022</v>
      </c>
      <c r="L166" s="10">
        <v>1176</v>
      </c>
    </row>
    <row r="167" spans="1:12">
      <c r="A167" s="9">
        <v>45876</v>
      </c>
      <c r="B167" s="2" t="s">
        <v>27</v>
      </c>
      <c r="C167" s="2" t="s">
        <v>18</v>
      </c>
      <c r="D167" s="2" t="s">
        <v>48</v>
      </c>
      <c r="E167" s="2" t="s">
        <v>22</v>
      </c>
      <c r="F167" s="2" t="s">
        <v>16</v>
      </c>
      <c r="G167" s="2">
        <v>7</v>
      </c>
      <c r="H167" s="2">
        <v>154</v>
      </c>
      <c r="I167" s="2">
        <v>435</v>
      </c>
      <c r="J167" s="2">
        <v>1078</v>
      </c>
      <c r="K167" s="2">
        <v>3045</v>
      </c>
      <c r="L167" s="10">
        <v>1967</v>
      </c>
    </row>
    <row r="168" spans="1:12">
      <c r="A168" s="9">
        <v>45888</v>
      </c>
      <c r="B168" s="2" t="s">
        <v>46</v>
      </c>
      <c r="C168" s="2" t="s">
        <v>28</v>
      </c>
      <c r="D168" s="2" t="s">
        <v>56</v>
      </c>
      <c r="E168" s="2" t="s">
        <v>26</v>
      </c>
      <c r="F168" s="2" t="s">
        <v>21</v>
      </c>
      <c r="G168" s="2">
        <v>10</v>
      </c>
      <c r="H168" s="2">
        <v>279</v>
      </c>
      <c r="I168" s="2">
        <v>425</v>
      </c>
      <c r="J168" s="2">
        <v>2790</v>
      </c>
      <c r="K168" s="2">
        <v>4250</v>
      </c>
      <c r="L168" s="10">
        <v>1460</v>
      </c>
    </row>
    <row r="169" spans="1:12">
      <c r="A169" s="9">
        <v>45900</v>
      </c>
      <c r="B169" s="2" t="s">
        <v>32</v>
      </c>
      <c r="C169" s="2" t="s">
        <v>18</v>
      </c>
      <c r="D169" s="2" t="s">
        <v>19</v>
      </c>
      <c r="E169" s="2" t="s">
        <v>20</v>
      </c>
      <c r="F169" s="2" t="s">
        <v>21</v>
      </c>
      <c r="G169" s="2">
        <v>4</v>
      </c>
      <c r="H169" s="2">
        <v>245</v>
      </c>
      <c r="I169" s="2">
        <v>405</v>
      </c>
      <c r="J169" s="2">
        <v>980</v>
      </c>
      <c r="K169" s="2">
        <v>1620</v>
      </c>
      <c r="L169" s="10">
        <v>640</v>
      </c>
    </row>
    <row r="170" spans="1:12">
      <c r="A170" s="9">
        <v>45906</v>
      </c>
      <c r="B170" s="2" t="s">
        <v>27</v>
      </c>
      <c r="C170" s="2" t="s">
        <v>13</v>
      </c>
      <c r="D170" s="2" t="s">
        <v>35</v>
      </c>
      <c r="E170" s="2" t="s">
        <v>15</v>
      </c>
      <c r="F170" s="2" t="s">
        <v>16</v>
      </c>
      <c r="G170" s="2">
        <v>3</v>
      </c>
      <c r="H170" s="2">
        <v>229</v>
      </c>
      <c r="I170" s="2">
        <v>396</v>
      </c>
      <c r="J170" s="2">
        <v>687</v>
      </c>
      <c r="K170" s="2">
        <v>1188</v>
      </c>
      <c r="L170" s="10">
        <v>501</v>
      </c>
    </row>
    <row r="171" spans="1:12">
      <c r="A171" s="9">
        <v>45918</v>
      </c>
      <c r="B171" s="2" t="s">
        <v>12</v>
      </c>
      <c r="C171" s="2" t="s">
        <v>18</v>
      </c>
      <c r="D171" s="2" t="s">
        <v>48</v>
      </c>
      <c r="E171" s="2" t="s">
        <v>22</v>
      </c>
      <c r="F171" s="2" t="s">
        <v>21</v>
      </c>
      <c r="G171" s="2">
        <v>10</v>
      </c>
      <c r="H171" s="2">
        <v>424</v>
      </c>
      <c r="I171" s="2">
        <v>649</v>
      </c>
      <c r="J171" s="2">
        <v>4240</v>
      </c>
      <c r="K171" s="2">
        <v>6490</v>
      </c>
      <c r="L171" s="10">
        <v>2250</v>
      </c>
    </row>
    <row r="172" spans="1:12">
      <c r="A172" s="9">
        <v>45930</v>
      </c>
      <c r="B172" s="2" t="s">
        <v>17</v>
      </c>
      <c r="C172" s="2" t="s">
        <v>33</v>
      </c>
      <c r="D172" s="2" t="s">
        <v>55</v>
      </c>
      <c r="E172" s="2" t="s">
        <v>26</v>
      </c>
      <c r="F172" s="2" t="s">
        <v>21</v>
      </c>
      <c r="G172" s="2">
        <v>3</v>
      </c>
      <c r="H172" s="2">
        <v>271</v>
      </c>
      <c r="I172" s="2">
        <v>455</v>
      </c>
      <c r="J172" s="2">
        <v>813</v>
      </c>
      <c r="K172" s="2">
        <v>1365</v>
      </c>
      <c r="L172" s="10">
        <v>552</v>
      </c>
    </row>
    <row r="173" spans="1:12">
      <c r="A173" s="9">
        <v>45935</v>
      </c>
      <c r="B173" s="2" t="s">
        <v>27</v>
      </c>
      <c r="C173" s="2" t="s">
        <v>28</v>
      </c>
      <c r="D173" s="2" t="s">
        <v>56</v>
      </c>
      <c r="E173" s="2" t="s">
        <v>26</v>
      </c>
      <c r="F173" s="2" t="s">
        <v>21</v>
      </c>
      <c r="G173" s="2">
        <v>6</v>
      </c>
      <c r="H173" s="2">
        <v>267</v>
      </c>
      <c r="I173" s="2">
        <v>375</v>
      </c>
      <c r="J173" s="2">
        <v>1602</v>
      </c>
      <c r="K173" s="2">
        <v>2250</v>
      </c>
      <c r="L173" s="10">
        <v>648</v>
      </c>
    </row>
    <row r="174" spans="1:12">
      <c r="A174" s="9">
        <v>45947</v>
      </c>
      <c r="B174" s="2" t="s">
        <v>46</v>
      </c>
      <c r="C174" s="2" t="s">
        <v>33</v>
      </c>
      <c r="D174" s="2" t="s">
        <v>40</v>
      </c>
      <c r="E174" s="2" t="s">
        <v>15</v>
      </c>
      <c r="F174" s="2" t="s">
        <v>16</v>
      </c>
      <c r="G174" s="2">
        <v>9</v>
      </c>
      <c r="H174" s="2">
        <v>385</v>
      </c>
      <c r="I174" s="2">
        <v>564</v>
      </c>
      <c r="J174" s="2">
        <v>3465</v>
      </c>
      <c r="K174" s="2">
        <v>5076</v>
      </c>
      <c r="L174" s="10">
        <v>1611</v>
      </c>
    </row>
    <row r="175" spans="1:12">
      <c r="A175" s="9">
        <v>45959</v>
      </c>
      <c r="B175" s="2" t="s">
        <v>27</v>
      </c>
      <c r="C175" s="2" t="s">
        <v>28</v>
      </c>
      <c r="D175" s="2" t="s">
        <v>54</v>
      </c>
      <c r="E175" s="2" t="s">
        <v>20</v>
      </c>
      <c r="F175" s="2" t="s">
        <v>16</v>
      </c>
      <c r="G175" s="2">
        <v>4</v>
      </c>
      <c r="H175" s="2">
        <v>357</v>
      </c>
      <c r="I175" s="2">
        <v>560</v>
      </c>
      <c r="J175" s="2">
        <v>1428</v>
      </c>
      <c r="K175" s="2">
        <v>2240</v>
      </c>
      <c r="L175" s="10">
        <v>812</v>
      </c>
    </row>
    <row r="176" spans="1:12">
      <c r="A176" s="9">
        <v>45965</v>
      </c>
      <c r="B176" s="2" t="s">
        <v>27</v>
      </c>
      <c r="C176" s="2" t="s">
        <v>13</v>
      </c>
      <c r="D176" s="2" t="s">
        <v>53</v>
      </c>
      <c r="E176" s="2" t="s">
        <v>15</v>
      </c>
      <c r="F176" s="2" t="s">
        <v>21</v>
      </c>
      <c r="G176" s="2">
        <v>3</v>
      </c>
      <c r="H176" s="2">
        <v>411</v>
      </c>
      <c r="I176" s="2">
        <v>521</v>
      </c>
      <c r="J176" s="2">
        <v>1233</v>
      </c>
      <c r="K176" s="2">
        <v>1563</v>
      </c>
      <c r="L176" s="10">
        <v>330</v>
      </c>
    </row>
    <row r="177" spans="1:12">
      <c r="A177" s="9">
        <v>45977</v>
      </c>
      <c r="B177" s="2" t="s">
        <v>12</v>
      </c>
      <c r="C177" s="2" t="s">
        <v>33</v>
      </c>
      <c r="D177" s="2" t="s">
        <v>55</v>
      </c>
      <c r="E177" s="2" t="s">
        <v>20</v>
      </c>
      <c r="F177" s="2" t="s">
        <v>16</v>
      </c>
      <c r="G177" s="2">
        <v>5</v>
      </c>
      <c r="H177" s="2">
        <v>468</v>
      </c>
      <c r="I177" s="2">
        <v>574</v>
      </c>
      <c r="J177" s="2">
        <v>2340</v>
      </c>
      <c r="K177" s="2">
        <v>2870</v>
      </c>
      <c r="L177" s="10">
        <v>530</v>
      </c>
    </row>
    <row r="178" spans="1:12">
      <c r="A178" s="9">
        <v>45989</v>
      </c>
      <c r="B178" s="2" t="s">
        <v>12</v>
      </c>
      <c r="C178" s="2" t="s">
        <v>28</v>
      </c>
      <c r="D178" s="2" t="s">
        <v>29</v>
      </c>
      <c r="E178" s="2" t="s">
        <v>31</v>
      </c>
      <c r="F178" s="2" t="s">
        <v>21</v>
      </c>
      <c r="G178" s="2">
        <v>8</v>
      </c>
      <c r="H178" s="2">
        <v>462</v>
      </c>
      <c r="I178" s="2">
        <v>551</v>
      </c>
      <c r="J178" s="2">
        <v>3696</v>
      </c>
      <c r="K178" s="2">
        <v>4408</v>
      </c>
      <c r="L178" s="10">
        <v>712</v>
      </c>
    </row>
    <row r="179" spans="1:12">
      <c r="A179" s="9">
        <v>45994</v>
      </c>
      <c r="B179" s="2" t="s">
        <v>12</v>
      </c>
      <c r="C179" s="2" t="s">
        <v>13</v>
      </c>
      <c r="D179" s="2" t="s">
        <v>52</v>
      </c>
      <c r="E179" s="2" t="s">
        <v>22</v>
      </c>
      <c r="F179" s="2" t="s">
        <v>21</v>
      </c>
      <c r="G179" s="2">
        <v>2</v>
      </c>
      <c r="H179" s="2">
        <v>295</v>
      </c>
      <c r="I179" s="2">
        <v>562</v>
      </c>
      <c r="J179" s="2">
        <v>590</v>
      </c>
      <c r="K179" s="2">
        <v>1124</v>
      </c>
      <c r="L179" s="10">
        <v>534</v>
      </c>
    </row>
    <row r="180" spans="1:12">
      <c r="A180" s="9">
        <v>46006</v>
      </c>
      <c r="B180" s="2" t="s">
        <v>27</v>
      </c>
      <c r="C180" s="2" t="s">
        <v>28</v>
      </c>
      <c r="D180" s="2" t="s">
        <v>49</v>
      </c>
      <c r="E180" s="2" t="s">
        <v>20</v>
      </c>
      <c r="F180" s="2" t="s">
        <v>21</v>
      </c>
      <c r="G180" s="2">
        <v>6</v>
      </c>
      <c r="H180" s="2">
        <v>115</v>
      </c>
      <c r="I180" s="2">
        <v>172</v>
      </c>
      <c r="J180" s="2">
        <v>690</v>
      </c>
      <c r="K180" s="2">
        <v>1032</v>
      </c>
      <c r="L180" s="10">
        <v>342</v>
      </c>
    </row>
    <row r="181" spans="1:12">
      <c r="A181" s="9">
        <v>46021</v>
      </c>
      <c r="B181" s="2" t="s">
        <v>46</v>
      </c>
      <c r="C181" s="2" t="s">
        <v>33</v>
      </c>
      <c r="D181" s="2" t="s">
        <v>34</v>
      </c>
      <c r="E181" s="2" t="s">
        <v>31</v>
      </c>
      <c r="F181" s="2" t="s">
        <v>16</v>
      </c>
      <c r="G181" s="2">
        <v>9</v>
      </c>
      <c r="H181" s="2">
        <v>162</v>
      </c>
      <c r="I181" s="2">
        <v>307</v>
      </c>
      <c r="J181" s="2">
        <v>1458</v>
      </c>
      <c r="K181" s="2">
        <v>2763</v>
      </c>
      <c r="L181" s="10">
        <v>1305</v>
      </c>
    </row>
    <row r="182" spans="1:12">
      <c r="A182" s="9">
        <v>45659</v>
      </c>
      <c r="B182" s="2" t="s">
        <v>46</v>
      </c>
      <c r="C182" s="2" t="s">
        <v>28</v>
      </c>
      <c r="D182" s="2" t="s">
        <v>54</v>
      </c>
      <c r="E182" s="2" t="s">
        <v>20</v>
      </c>
      <c r="F182" s="2" t="s">
        <v>21</v>
      </c>
      <c r="G182" s="2">
        <v>9</v>
      </c>
      <c r="H182" s="2">
        <v>453</v>
      </c>
      <c r="I182" s="2">
        <v>713</v>
      </c>
      <c r="J182" s="2">
        <v>4077</v>
      </c>
      <c r="K182" s="2">
        <v>6417</v>
      </c>
      <c r="L182" s="10">
        <v>2340</v>
      </c>
    </row>
    <row r="183" spans="1:12">
      <c r="A183" s="9">
        <v>45672</v>
      </c>
      <c r="B183" s="2" t="s">
        <v>30</v>
      </c>
      <c r="C183" s="2" t="s">
        <v>36</v>
      </c>
      <c r="D183" s="2" t="s">
        <v>50</v>
      </c>
      <c r="E183" s="2" t="s">
        <v>15</v>
      </c>
      <c r="F183" s="2" t="s">
        <v>16</v>
      </c>
      <c r="G183" s="2">
        <v>3</v>
      </c>
      <c r="H183" s="2">
        <v>314</v>
      </c>
      <c r="I183" s="2">
        <v>509</v>
      </c>
      <c r="J183" s="2">
        <v>942</v>
      </c>
      <c r="K183" s="2">
        <v>1527</v>
      </c>
      <c r="L183" s="10">
        <v>585</v>
      </c>
    </row>
    <row r="184" spans="1:12">
      <c r="A184" s="9">
        <v>45685</v>
      </c>
      <c r="B184" s="2" t="s">
        <v>27</v>
      </c>
      <c r="C184" s="2" t="s">
        <v>18</v>
      </c>
      <c r="D184" s="2" t="s">
        <v>23</v>
      </c>
      <c r="E184" s="2" t="s">
        <v>20</v>
      </c>
      <c r="F184" s="2" t="s">
        <v>16</v>
      </c>
      <c r="G184" s="2">
        <v>9</v>
      </c>
      <c r="H184" s="2">
        <v>369</v>
      </c>
      <c r="I184" s="2">
        <v>659</v>
      </c>
      <c r="J184" s="2">
        <v>3321</v>
      </c>
      <c r="K184" s="2">
        <v>5931</v>
      </c>
      <c r="L184" s="10">
        <v>2610</v>
      </c>
    </row>
    <row r="185" spans="1:12">
      <c r="A185" s="9">
        <v>45692</v>
      </c>
      <c r="B185" s="2" t="s">
        <v>30</v>
      </c>
      <c r="C185" s="2" t="s">
        <v>36</v>
      </c>
      <c r="D185" s="2" t="s">
        <v>47</v>
      </c>
      <c r="E185" s="2" t="s">
        <v>26</v>
      </c>
      <c r="F185" s="2" t="s">
        <v>16</v>
      </c>
      <c r="G185" s="2">
        <v>4</v>
      </c>
      <c r="H185" s="2">
        <v>422</v>
      </c>
      <c r="I185" s="2">
        <v>591</v>
      </c>
      <c r="J185" s="2">
        <v>1688</v>
      </c>
      <c r="K185" s="2">
        <v>2364</v>
      </c>
      <c r="L185" s="10">
        <v>676</v>
      </c>
    </row>
    <row r="186" spans="1:12">
      <c r="A186" s="9">
        <v>45704</v>
      </c>
      <c r="B186" s="2" t="s">
        <v>30</v>
      </c>
      <c r="C186" s="2" t="s">
        <v>28</v>
      </c>
      <c r="D186" s="2" t="s">
        <v>51</v>
      </c>
      <c r="E186" s="2" t="s">
        <v>22</v>
      </c>
      <c r="F186" s="2" t="s">
        <v>21</v>
      </c>
      <c r="G186" s="2">
        <v>8</v>
      </c>
      <c r="H186" s="2">
        <v>138</v>
      </c>
      <c r="I186" s="2">
        <v>190</v>
      </c>
      <c r="J186" s="2">
        <v>1104</v>
      </c>
      <c r="K186" s="2">
        <v>1520</v>
      </c>
      <c r="L186" s="10">
        <v>416</v>
      </c>
    </row>
    <row r="187" spans="1:12">
      <c r="A187" s="9">
        <v>45716</v>
      </c>
      <c r="B187" s="2" t="s">
        <v>30</v>
      </c>
      <c r="C187" s="2" t="s">
        <v>33</v>
      </c>
      <c r="D187" s="2" t="s">
        <v>55</v>
      </c>
      <c r="E187" s="2" t="s">
        <v>15</v>
      </c>
      <c r="F187" s="2" t="s">
        <v>16</v>
      </c>
      <c r="G187" s="2">
        <v>9</v>
      </c>
      <c r="H187" s="2">
        <v>422</v>
      </c>
      <c r="I187" s="2">
        <v>530</v>
      </c>
      <c r="J187" s="2">
        <v>3798</v>
      </c>
      <c r="K187" s="2">
        <v>4770</v>
      </c>
      <c r="L187" s="10">
        <v>972</v>
      </c>
    </row>
    <row r="188" spans="1:12">
      <c r="A188" s="9">
        <v>45722</v>
      </c>
      <c r="B188" s="2" t="s">
        <v>24</v>
      </c>
      <c r="C188" s="2" t="s">
        <v>18</v>
      </c>
      <c r="D188" s="2" t="s">
        <v>19</v>
      </c>
      <c r="E188" s="2" t="s">
        <v>20</v>
      </c>
      <c r="F188" s="2" t="s">
        <v>21</v>
      </c>
      <c r="G188" s="2">
        <v>8</v>
      </c>
      <c r="H188" s="2">
        <v>382</v>
      </c>
      <c r="I188" s="2">
        <v>441</v>
      </c>
      <c r="J188" s="2">
        <v>3056</v>
      </c>
      <c r="K188" s="2">
        <v>3528</v>
      </c>
      <c r="L188" s="10">
        <v>472</v>
      </c>
    </row>
    <row r="189" spans="1:12">
      <c r="A189" s="9">
        <v>45734</v>
      </c>
      <c r="B189" s="2" t="s">
        <v>32</v>
      </c>
      <c r="C189" s="2" t="s">
        <v>28</v>
      </c>
      <c r="D189" s="2" t="s">
        <v>29</v>
      </c>
      <c r="E189" s="2" t="s">
        <v>26</v>
      </c>
      <c r="F189" s="2" t="s">
        <v>21</v>
      </c>
      <c r="G189" s="2">
        <v>2</v>
      </c>
      <c r="H189" s="2">
        <v>487</v>
      </c>
      <c r="I189" s="2">
        <v>537</v>
      </c>
      <c r="J189" s="2">
        <v>974</v>
      </c>
      <c r="K189" s="2">
        <v>1074</v>
      </c>
      <c r="L189" s="10">
        <v>100</v>
      </c>
    </row>
    <row r="190" spans="1:12">
      <c r="A190" s="9">
        <v>45745</v>
      </c>
      <c r="B190" s="2" t="s">
        <v>27</v>
      </c>
      <c r="C190" s="2" t="s">
        <v>28</v>
      </c>
      <c r="D190" s="2" t="s">
        <v>54</v>
      </c>
      <c r="E190" s="2" t="s">
        <v>22</v>
      </c>
      <c r="F190" s="2" t="s">
        <v>16</v>
      </c>
      <c r="G190" s="2">
        <v>10</v>
      </c>
      <c r="H190" s="2">
        <v>340</v>
      </c>
      <c r="I190" s="2">
        <v>458</v>
      </c>
      <c r="J190" s="2">
        <v>3400</v>
      </c>
      <c r="K190" s="2">
        <v>4580</v>
      </c>
      <c r="L190" s="10">
        <v>1180</v>
      </c>
    </row>
    <row r="191" spans="1:12">
      <c r="A191" s="9">
        <v>45751</v>
      </c>
      <c r="B191" s="2" t="s">
        <v>27</v>
      </c>
      <c r="C191" s="2" t="s">
        <v>33</v>
      </c>
      <c r="D191" s="2" t="s">
        <v>55</v>
      </c>
      <c r="E191" s="2" t="s">
        <v>20</v>
      </c>
      <c r="F191" s="2" t="s">
        <v>16</v>
      </c>
      <c r="G191" s="2">
        <v>2</v>
      </c>
      <c r="H191" s="2">
        <v>147</v>
      </c>
      <c r="I191" s="2">
        <v>351</v>
      </c>
      <c r="J191" s="2">
        <v>294</v>
      </c>
      <c r="K191" s="2">
        <v>702</v>
      </c>
      <c r="L191" s="10">
        <v>408</v>
      </c>
    </row>
    <row r="192" spans="1:12">
      <c r="A192" s="9">
        <v>45763</v>
      </c>
      <c r="B192" s="2" t="s">
        <v>30</v>
      </c>
      <c r="C192" s="2" t="s">
        <v>33</v>
      </c>
      <c r="D192" s="2" t="s">
        <v>40</v>
      </c>
      <c r="E192" s="2" t="s">
        <v>31</v>
      </c>
      <c r="F192" s="2" t="s">
        <v>16</v>
      </c>
      <c r="G192" s="2">
        <v>8</v>
      </c>
      <c r="H192" s="2">
        <v>389</v>
      </c>
      <c r="I192" s="2">
        <v>516</v>
      </c>
      <c r="J192" s="2">
        <v>3112</v>
      </c>
      <c r="K192" s="2">
        <v>4128</v>
      </c>
      <c r="L192" s="10">
        <v>1016</v>
      </c>
    </row>
    <row r="193" spans="1:12">
      <c r="A193" s="9">
        <v>45775</v>
      </c>
      <c r="B193" s="2" t="s">
        <v>38</v>
      </c>
      <c r="C193" s="2" t="s">
        <v>28</v>
      </c>
      <c r="D193" s="2" t="s">
        <v>29</v>
      </c>
      <c r="E193" s="2" t="s">
        <v>22</v>
      </c>
      <c r="F193" s="2" t="s">
        <v>21</v>
      </c>
      <c r="G193" s="2">
        <v>7</v>
      </c>
      <c r="H193" s="2">
        <v>274</v>
      </c>
      <c r="I193" s="2">
        <v>453</v>
      </c>
      <c r="J193" s="2">
        <v>1918</v>
      </c>
      <c r="K193" s="2">
        <v>3171</v>
      </c>
      <c r="L193" s="10">
        <v>1253</v>
      </c>
    </row>
    <row r="194" spans="1:12">
      <c r="A194" s="9">
        <v>45780</v>
      </c>
      <c r="B194" s="2" t="s">
        <v>17</v>
      </c>
      <c r="C194" s="2" t="s">
        <v>18</v>
      </c>
      <c r="D194" s="2" t="s">
        <v>41</v>
      </c>
      <c r="E194" s="2" t="s">
        <v>31</v>
      </c>
      <c r="F194" s="2" t="s">
        <v>16</v>
      </c>
      <c r="G194" s="2">
        <v>2</v>
      </c>
      <c r="H194" s="2">
        <v>181</v>
      </c>
      <c r="I194" s="2">
        <v>396</v>
      </c>
      <c r="J194" s="2">
        <v>362</v>
      </c>
      <c r="K194" s="2">
        <v>792</v>
      </c>
      <c r="L194" s="10">
        <v>430</v>
      </c>
    </row>
    <row r="195" spans="1:12">
      <c r="A195" s="9">
        <v>45793</v>
      </c>
      <c r="B195" s="2" t="s">
        <v>46</v>
      </c>
      <c r="C195" s="2" t="s">
        <v>28</v>
      </c>
      <c r="D195" s="2" t="s">
        <v>49</v>
      </c>
      <c r="E195" s="2" t="s">
        <v>22</v>
      </c>
      <c r="F195" s="2" t="s">
        <v>21</v>
      </c>
      <c r="G195" s="2">
        <v>2</v>
      </c>
      <c r="H195" s="2">
        <v>483</v>
      </c>
      <c r="I195" s="2">
        <v>742</v>
      </c>
      <c r="J195" s="2">
        <v>966</v>
      </c>
      <c r="K195" s="2">
        <v>1484</v>
      </c>
      <c r="L195" s="10">
        <v>518</v>
      </c>
    </row>
    <row r="196" spans="1:12">
      <c r="A196" s="9">
        <v>45806</v>
      </c>
      <c r="B196" s="2" t="s">
        <v>38</v>
      </c>
      <c r="C196" s="2" t="s">
        <v>13</v>
      </c>
      <c r="D196" s="2" t="s">
        <v>53</v>
      </c>
      <c r="E196" s="2" t="s">
        <v>22</v>
      </c>
      <c r="F196" s="2" t="s">
        <v>21</v>
      </c>
      <c r="G196" s="2">
        <v>6</v>
      </c>
      <c r="H196" s="2">
        <v>270</v>
      </c>
      <c r="I196" s="2">
        <v>320</v>
      </c>
      <c r="J196" s="2">
        <v>1620</v>
      </c>
      <c r="K196" s="2">
        <v>1920</v>
      </c>
      <c r="L196" s="10">
        <v>300</v>
      </c>
    </row>
    <row r="197" spans="1:12">
      <c r="A197" s="9">
        <v>45813</v>
      </c>
      <c r="B197" s="2" t="s">
        <v>17</v>
      </c>
      <c r="C197" s="2" t="s">
        <v>18</v>
      </c>
      <c r="D197" s="2" t="s">
        <v>41</v>
      </c>
      <c r="E197" s="2" t="s">
        <v>15</v>
      </c>
      <c r="F197" s="2" t="s">
        <v>16</v>
      </c>
      <c r="G197" s="2">
        <v>3</v>
      </c>
      <c r="H197" s="2">
        <v>314</v>
      </c>
      <c r="I197" s="2">
        <v>447</v>
      </c>
      <c r="J197" s="2">
        <v>942</v>
      </c>
      <c r="K197" s="2">
        <v>1341</v>
      </c>
      <c r="L197" s="10">
        <v>399</v>
      </c>
    </row>
    <row r="198" spans="1:12">
      <c r="A198" s="9">
        <v>45825</v>
      </c>
      <c r="B198" s="2" t="s">
        <v>32</v>
      </c>
      <c r="C198" s="2" t="s">
        <v>13</v>
      </c>
      <c r="D198" s="2" t="s">
        <v>14</v>
      </c>
      <c r="E198" s="2" t="s">
        <v>31</v>
      </c>
      <c r="F198" s="2" t="s">
        <v>16</v>
      </c>
      <c r="G198" s="2">
        <v>4</v>
      </c>
      <c r="H198" s="2">
        <v>196</v>
      </c>
      <c r="I198" s="2">
        <v>365</v>
      </c>
      <c r="J198" s="2">
        <v>784</v>
      </c>
      <c r="K198" s="2">
        <v>1460</v>
      </c>
      <c r="L198" s="10">
        <v>676</v>
      </c>
    </row>
    <row r="199" spans="1:12">
      <c r="A199" s="9">
        <v>45838</v>
      </c>
      <c r="B199" s="2" t="s">
        <v>12</v>
      </c>
      <c r="C199" s="2" t="s">
        <v>28</v>
      </c>
      <c r="D199" s="2" t="s">
        <v>56</v>
      </c>
      <c r="E199" s="2" t="s">
        <v>22</v>
      </c>
      <c r="F199" s="2" t="s">
        <v>21</v>
      </c>
      <c r="G199" s="2">
        <v>7</v>
      </c>
      <c r="H199" s="2">
        <v>449</v>
      </c>
      <c r="I199" s="2">
        <v>620</v>
      </c>
      <c r="J199" s="2">
        <v>3143</v>
      </c>
      <c r="K199" s="2">
        <v>4340</v>
      </c>
      <c r="L199" s="10">
        <v>1197</v>
      </c>
    </row>
    <row r="200" spans="1:12">
      <c r="A200" s="9">
        <v>45844</v>
      </c>
      <c r="B200" s="2" t="s">
        <v>12</v>
      </c>
      <c r="C200" s="2" t="s">
        <v>18</v>
      </c>
      <c r="D200" s="2" t="s">
        <v>48</v>
      </c>
      <c r="E200" s="2" t="s">
        <v>20</v>
      </c>
      <c r="F200" s="2" t="s">
        <v>21</v>
      </c>
      <c r="G200" s="2">
        <v>10</v>
      </c>
      <c r="H200" s="2">
        <v>120</v>
      </c>
      <c r="I200" s="2">
        <v>289</v>
      </c>
      <c r="J200" s="2">
        <v>1200</v>
      </c>
      <c r="K200" s="2">
        <v>2890</v>
      </c>
      <c r="L200" s="10">
        <v>1690</v>
      </c>
    </row>
    <row r="201" spans="1:12">
      <c r="A201" s="9">
        <v>45856</v>
      </c>
      <c r="B201" s="2" t="s">
        <v>38</v>
      </c>
      <c r="C201" s="2" t="s">
        <v>13</v>
      </c>
      <c r="D201" s="2" t="s">
        <v>35</v>
      </c>
      <c r="E201" s="2" t="s">
        <v>20</v>
      </c>
      <c r="F201" s="2" t="s">
        <v>16</v>
      </c>
      <c r="G201" s="2">
        <v>1</v>
      </c>
      <c r="H201" s="2">
        <v>279</v>
      </c>
      <c r="I201" s="2">
        <v>553</v>
      </c>
      <c r="J201" s="2">
        <v>279</v>
      </c>
      <c r="K201" s="2">
        <v>553</v>
      </c>
      <c r="L201" s="10">
        <v>274</v>
      </c>
    </row>
    <row r="202" spans="1:12">
      <c r="A202" s="9">
        <v>45868</v>
      </c>
      <c r="B202" s="2" t="s">
        <v>38</v>
      </c>
      <c r="C202" s="2" t="s">
        <v>33</v>
      </c>
      <c r="D202" s="2" t="s">
        <v>55</v>
      </c>
      <c r="E202" s="2" t="s">
        <v>15</v>
      </c>
      <c r="F202" s="2" t="s">
        <v>21</v>
      </c>
      <c r="G202" s="2">
        <v>7</v>
      </c>
      <c r="H202" s="2">
        <v>100</v>
      </c>
      <c r="I202" s="2">
        <v>196</v>
      </c>
      <c r="J202" s="2">
        <v>700</v>
      </c>
      <c r="K202" s="2">
        <v>1372</v>
      </c>
      <c r="L202" s="10">
        <v>672</v>
      </c>
    </row>
    <row r="203" spans="1:12">
      <c r="A203" s="9">
        <v>45874</v>
      </c>
      <c r="B203" s="2" t="s">
        <v>32</v>
      </c>
      <c r="C203" s="2" t="s">
        <v>18</v>
      </c>
      <c r="D203" s="2" t="s">
        <v>41</v>
      </c>
      <c r="E203" s="2" t="s">
        <v>20</v>
      </c>
      <c r="F203" s="2" t="s">
        <v>21</v>
      </c>
      <c r="G203" s="2">
        <v>2</v>
      </c>
      <c r="H203" s="2">
        <v>215</v>
      </c>
      <c r="I203" s="2">
        <v>273</v>
      </c>
      <c r="J203" s="2">
        <v>430</v>
      </c>
      <c r="K203" s="2">
        <v>546</v>
      </c>
      <c r="L203" s="10">
        <v>116</v>
      </c>
    </row>
    <row r="204" spans="1:12">
      <c r="A204" s="9">
        <v>45886</v>
      </c>
      <c r="B204" s="2" t="s">
        <v>46</v>
      </c>
      <c r="C204" s="2" t="s">
        <v>36</v>
      </c>
      <c r="D204" s="2" t="s">
        <v>45</v>
      </c>
      <c r="E204" s="2" t="s">
        <v>15</v>
      </c>
      <c r="F204" s="2" t="s">
        <v>21</v>
      </c>
      <c r="G204" s="2">
        <v>4</v>
      </c>
      <c r="H204" s="2">
        <v>171</v>
      </c>
      <c r="I204" s="2">
        <v>256</v>
      </c>
      <c r="J204" s="2">
        <v>684</v>
      </c>
      <c r="K204" s="2">
        <v>1024</v>
      </c>
      <c r="L204" s="10">
        <v>340</v>
      </c>
    </row>
    <row r="205" spans="1:12">
      <c r="A205" s="9">
        <v>45898</v>
      </c>
      <c r="B205" s="2" t="s">
        <v>27</v>
      </c>
      <c r="C205" s="2" t="s">
        <v>36</v>
      </c>
      <c r="D205" s="2" t="s">
        <v>37</v>
      </c>
      <c r="E205" s="2" t="s">
        <v>15</v>
      </c>
      <c r="F205" s="2" t="s">
        <v>21</v>
      </c>
      <c r="G205" s="2">
        <v>6</v>
      </c>
      <c r="H205" s="2">
        <v>153</v>
      </c>
      <c r="I205" s="2">
        <v>286</v>
      </c>
      <c r="J205" s="2">
        <v>918</v>
      </c>
      <c r="K205" s="2">
        <v>1716</v>
      </c>
      <c r="L205" s="10">
        <v>798</v>
      </c>
    </row>
    <row r="206" spans="1:12">
      <c r="A206" s="9">
        <v>45904</v>
      </c>
      <c r="B206" s="2" t="s">
        <v>27</v>
      </c>
      <c r="C206" s="2" t="s">
        <v>33</v>
      </c>
      <c r="D206" s="2" t="s">
        <v>39</v>
      </c>
      <c r="E206" s="2" t="s">
        <v>26</v>
      </c>
      <c r="F206" s="2" t="s">
        <v>16</v>
      </c>
      <c r="G206" s="2">
        <v>5</v>
      </c>
      <c r="H206" s="2">
        <v>272</v>
      </c>
      <c r="I206" s="2">
        <v>510</v>
      </c>
      <c r="J206" s="2">
        <v>1360</v>
      </c>
      <c r="K206" s="2">
        <v>2550</v>
      </c>
      <c r="L206" s="10">
        <v>1190</v>
      </c>
    </row>
    <row r="207" spans="1:12">
      <c r="A207" s="9">
        <v>45916</v>
      </c>
      <c r="B207" s="2" t="s">
        <v>12</v>
      </c>
      <c r="C207" s="2" t="s">
        <v>18</v>
      </c>
      <c r="D207" s="2" t="s">
        <v>19</v>
      </c>
      <c r="E207" s="2" t="s">
        <v>15</v>
      </c>
      <c r="F207" s="2" t="s">
        <v>16</v>
      </c>
      <c r="G207" s="2">
        <v>1</v>
      </c>
      <c r="H207" s="2">
        <v>428</v>
      </c>
      <c r="I207" s="2">
        <v>612</v>
      </c>
      <c r="J207" s="2">
        <v>428</v>
      </c>
      <c r="K207" s="2">
        <v>612</v>
      </c>
      <c r="L207" s="10">
        <v>184</v>
      </c>
    </row>
    <row r="208" spans="1:12">
      <c r="A208" s="9">
        <v>45928</v>
      </c>
      <c r="B208" s="2" t="s">
        <v>30</v>
      </c>
      <c r="C208" s="2" t="s">
        <v>36</v>
      </c>
      <c r="D208" s="2" t="s">
        <v>50</v>
      </c>
      <c r="E208" s="2" t="s">
        <v>26</v>
      </c>
      <c r="F208" s="2" t="s">
        <v>21</v>
      </c>
      <c r="G208" s="2">
        <v>8</v>
      </c>
      <c r="H208" s="2">
        <v>466</v>
      </c>
      <c r="I208" s="2">
        <v>617</v>
      </c>
      <c r="J208" s="2">
        <v>3728</v>
      </c>
      <c r="K208" s="2">
        <v>4936</v>
      </c>
      <c r="L208" s="10">
        <v>1208</v>
      </c>
    </row>
    <row r="209" spans="1:12">
      <c r="A209" s="9">
        <v>45933</v>
      </c>
      <c r="B209" s="2" t="s">
        <v>30</v>
      </c>
      <c r="C209" s="2" t="s">
        <v>33</v>
      </c>
      <c r="D209" s="2" t="s">
        <v>34</v>
      </c>
      <c r="E209" s="2" t="s">
        <v>15</v>
      </c>
      <c r="F209" s="2" t="s">
        <v>16</v>
      </c>
      <c r="G209" s="2">
        <v>1</v>
      </c>
      <c r="H209" s="2">
        <v>431</v>
      </c>
      <c r="I209" s="2">
        <v>630</v>
      </c>
      <c r="J209" s="2">
        <v>431</v>
      </c>
      <c r="K209" s="2">
        <v>630</v>
      </c>
      <c r="L209" s="10">
        <v>199</v>
      </c>
    </row>
    <row r="210" spans="1:12">
      <c r="A210" s="9">
        <v>45945</v>
      </c>
      <c r="B210" s="2" t="s">
        <v>12</v>
      </c>
      <c r="C210" s="2" t="s">
        <v>13</v>
      </c>
      <c r="D210" s="2" t="s">
        <v>53</v>
      </c>
      <c r="E210" s="2" t="s">
        <v>22</v>
      </c>
      <c r="F210" s="2" t="s">
        <v>16</v>
      </c>
      <c r="G210" s="2">
        <v>10</v>
      </c>
      <c r="H210" s="2">
        <v>496</v>
      </c>
      <c r="I210" s="2">
        <v>671</v>
      </c>
      <c r="J210" s="2">
        <v>4960</v>
      </c>
      <c r="K210" s="2">
        <v>6710</v>
      </c>
      <c r="L210" s="10">
        <v>1750</v>
      </c>
    </row>
    <row r="211" spans="1:12">
      <c r="A211" s="9">
        <v>45958</v>
      </c>
      <c r="B211" s="2" t="s">
        <v>27</v>
      </c>
      <c r="C211" s="2" t="s">
        <v>33</v>
      </c>
      <c r="D211" s="2" t="s">
        <v>39</v>
      </c>
      <c r="E211" s="2" t="s">
        <v>15</v>
      </c>
      <c r="F211" s="2" t="s">
        <v>16</v>
      </c>
      <c r="G211" s="2">
        <v>6</v>
      </c>
      <c r="H211" s="2">
        <v>332</v>
      </c>
      <c r="I211" s="2">
        <v>462</v>
      </c>
      <c r="J211" s="2">
        <v>1992</v>
      </c>
      <c r="K211" s="2">
        <v>2772</v>
      </c>
      <c r="L211" s="10">
        <v>780</v>
      </c>
    </row>
    <row r="212" spans="1:12">
      <c r="A212" s="9">
        <v>45964</v>
      </c>
      <c r="B212" s="2" t="s">
        <v>27</v>
      </c>
      <c r="C212" s="2" t="s">
        <v>28</v>
      </c>
      <c r="D212" s="2" t="s">
        <v>56</v>
      </c>
      <c r="E212" s="2" t="s">
        <v>15</v>
      </c>
      <c r="F212" s="2" t="s">
        <v>21</v>
      </c>
      <c r="G212" s="2">
        <v>10</v>
      </c>
      <c r="H212" s="2">
        <v>256</v>
      </c>
      <c r="I212" s="2">
        <v>331</v>
      </c>
      <c r="J212" s="2">
        <v>2560</v>
      </c>
      <c r="K212" s="2">
        <v>3310</v>
      </c>
      <c r="L212" s="10">
        <v>750</v>
      </c>
    </row>
    <row r="213" spans="1:12">
      <c r="A213" s="9">
        <v>45976</v>
      </c>
      <c r="B213" s="2" t="s">
        <v>12</v>
      </c>
      <c r="C213" s="2" t="s">
        <v>13</v>
      </c>
      <c r="D213" s="2" t="s">
        <v>43</v>
      </c>
      <c r="E213" s="2" t="s">
        <v>20</v>
      </c>
      <c r="F213" s="2" t="s">
        <v>21</v>
      </c>
      <c r="G213" s="2">
        <v>8</v>
      </c>
      <c r="H213" s="2">
        <v>404</v>
      </c>
      <c r="I213" s="2">
        <v>556</v>
      </c>
      <c r="J213" s="2">
        <v>3232</v>
      </c>
      <c r="K213" s="2">
        <v>4448</v>
      </c>
      <c r="L213" s="10">
        <v>1216</v>
      </c>
    </row>
    <row r="214" spans="1:12">
      <c r="A214" s="9">
        <v>45988</v>
      </c>
      <c r="B214" s="2" t="s">
        <v>12</v>
      </c>
      <c r="C214" s="2" t="s">
        <v>33</v>
      </c>
      <c r="D214" s="2" t="s">
        <v>34</v>
      </c>
      <c r="E214" s="2" t="s">
        <v>20</v>
      </c>
      <c r="F214" s="2" t="s">
        <v>21</v>
      </c>
      <c r="G214" s="2">
        <v>7</v>
      </c>
      <c r="H214" s="2">
        <v>480</v>
      </c>
      <c r="I214" s="2">
        <v>531</v>
      </c>
      <c r="J214" s="2">
        <v>3360</v>
      </c>
      <c r="K214" s="2">
        <v>3717</v>
      </c>
      <c r="L214" s="10">
        <v>357</v>
      </c>
    </row>
    <row r="215" spans="1:12">
      <c r="A215" s="9">
        <v>45993</v>
      </c>
      <c r="B215" s="2" t="s">
        <v>30</v>
      </c>
      <c r="C215" s="2" t="s">
        <v>36</v>
      </c>
      <c r="D215" s="2" t="s">
        <v>47</v>
      </c>
      <c r="E215" s="2" t="s">
        <v>15</v>
      </c>
      <c r="F215" s="2" t="s">
        <v>16</v>
      </c>
      <c r="G215" s="2">
        <v>8</v>
      </c>
      <c r="H215" s="2">
        <v>468</v>
      </c>
      <c r="I215" s="2">
        <v>749</v>
      </c>
      <c r="J215" s="2">
        <v>3744</v>
      </c>
      <c r="K215" s="2">
        <v>5992</v>
      </c>
      <c r="L215" s="10">
        <v>2248</v>
      </c>
    </row>
    <row r="216" spans="1:12">
      <c r="A216" s="9">
        <v>46005</v>
      </c>
      <c r="B216" s="2" t="s">
        <v>24</v>
      </c>
      <c r="C216" s="2" t="s">
        <v>13</v>
      </c>
      <c r="D216" s="2" t="s">
        <v>35</v>
      </c>
      <c r="E216" s="2" t="s">
        <v>22</v>
      </c>
      <c r="F216" s="2" t="s">
        <v>21</v>
      </c>
      <c r="G216" s="2">
        <v>10</v>
      </c>
      <c r="H216" s="2">
        <v>441</v>
      </c>
      <c r="I216" s="2">
        <v>494</v>
      </c>
      <c r="J216" s="2">
        <v>4410</v>
      </c>
      <c r="K216" s="2">
        <v>4940</v>
      </c>
      <c r="L216" s="10">
        <v>530</v>
      </c>
    </row>
    <row r="217" spans="1:12">
      <c r="A217" s="9">
        <v>46020</v>
      </c>
      <c r="B217" s="2" t="s">
        <v>30</v>
      </c>
      <c r="C217" s="2" t="s">
        <v>36</v>
      </c>
      <c r="D217" s="2" t="s">
        <v>47</v>
      </c>
      <c r="E217" s="2" t="s">
        <v>22</v>
      </c>
      <c r="F217" s="2" t="s">
        <v>21</v>
      </c>
      <c r="G217" s="2">
        <v>5</v>
      </c>
      <c r="H217" s="2">
        <v>335</v>
      </c>
      <c r="I217" s="2">
        <v>610</v>
      </c>
      <c r="J217" s="2">
        <v>1675</v>
      </c>
      <c r="K217" s="2">
        <v>3050</v>
      </c>
      <c r="L217" s="10">
        <v>1375</v>
      </c>
    </row>
    <row r="218" spans="1:12">
      <c r="A218" s="9">
        <v>45672</v>
      </c>
      <c r="B218" s="2" t="s">
        <v>27</v>
      </c>
      <c r="C218" s="2" t="s">
        <v>13</v>
      </c>
      <c r="D218" s="2" t="s">
        <v>14</v>
      </c>
      <c r="E218" s="2" t="s">
        <v>15</v>
      </c>
      <c r="F218" s="2" t="s">
        <v>21</v>
      </c>
      <c r="G218" s="2">
        <v>8</v>
      </c>
      <c r="H218" s="2">
        <v>462</v>
      </c>
      <c r="I218" s="2">
        <v>529</v>
      </c>
      <c r="J218" s="2">
        <v>3696</v>
      </c>
      <c r="K218" s="2">
        <v>4232</v>
      </c>
      <c r="L218" s="10">
        <v>536</v>
      </c>
    </row>
    <row r="219" spans="1:12">
      <c r="A219" s="9">
        <v>45671</v>
      </c>
      <c r="B219" s="2" t="s">
        <v>24</v>
      </c>
      <c r="C219" s="2" t="s">
        <v>18</v>
      </c>
      <c r="D219" s="2" t="s">
        <v>23</v>
      </c>
      <c r="E219" s="2" t="s">
        <v>31</v>
      </c>
      <c r="F219" s="2" t="s">
        <v>21</v>
      </c>
      <c r="G219" s="2">
        <v>1</v>
      </c>
      <c r="H219" s="2">
        <v>474</v>
      </c>
      <c r="I219" s="2">
        <v>643</v>
      </c>
      <c r="J219" s="2">
        <v>474</v>
      </c>
      <c r="K219" s="2">
        <v>643</v>
      </c>
      <c r="L219" s="10">
        <v>169</v>
      </c>
    </row>
    <row r="220" spans="1:12">
      <c r="A220" s="9">
        <v>45684</v>
      </c>
      <c r="B220" s="2" t="s">
        <v>38</v>
      </c>
      <c r="C220" s="2" t="s">
        <v>33</v>
      </c>
      <c r="D220" s="2" t="s">
        <v>42</v>
      </c>
      <c r="E220" s="2" t="s">
        <v>20</v>
      </c>
      <c r="F220" s="2" t="s">
        <v>16</v>
      </c>
      <c r="G220" s="2">
        <v>8</v>
      </c>
      <c r="H220" s="2">
        <v>434</v>
      </c>
      <c r="I220" s="2">
        <v>540</v>
      </c>
      <c r="J220" s="2">
        <v>3472</v>
      </c>
      <c r="K220" s="2">
        <v>4320</v>
      </c>
      <c r="L220" s="10">
        <v>848</v>
      </c>
    </row>
    <row r="221" spans="1:12">
      <c r="A221" s="9">
        <v>45658</v>
      </c>
      <c r="B221" s="2" t="s">
        <v>17</v>
      </c>
      <c r="C221" s="2" t="s">
        <v>18</v>
      </c>
      <c r="D221" s="2" t="s">
        <v>41</v>
      </c>
      <c r="E221" s="2" t="s">
        <v>20</v>
      </c>
      <c r="F221" s="2" t="s">
        <v>16</v>
      </c>
      <c r="G221" s="2">
        <v>10</v>
      </c>
      <c r="H221" s="2">
        <v>275</v>
      </c>
      <c r="I221" s="2">
        <v>564</v>
      </c>
      <c r="J221" s="2">
        <v>2750</v>
      </c>
      <c r="K221" s="2">
        <v>5640</v>
      </c>
      <c r="L221" s="10">
        <v>2890</v>
      </c>
    </row>
    <row r="222" spans="1:12">
      <c r="A222" s="9">
        <v>45703</v>
      </c>
      <c r="B222" s="2" t="s">
        <v>17</v>
      </c>
      <c r="C222" s="2" t="s">
        <v>36</v>
      </c>
      <c r="D222" s="2" t="s">
        <v>37</v>
      </c>
      <c r="E222" s="2" t="s">
        <v>26</v>
      </c>
      <c r="F222" s="2" t="s">
        <v>21</v>
      </c>
      <c r="G222" s="2">
        <v>10</v>
      </c>
      <c r="H222" s="2">
        <v>433</v>
      </c>
      <c r="I222" s="2">
        <v>689</v>
      </c>
      <c r="J222" s="2">
        <v>4330</v>
      </c>
      <c r="K222" s="2">
        <v>6890</v>
      </c>
      <c r="L222" s="10">
        <v>2560</v>
      </c>
    </row>
    <row r="223" spans="1:12">
      <c r="A223" s="9">
        <v>45715</v>
      </c>
      <c r="B223" s="2" t="s">
        <v>38</v>
      </c>
      <c r="C223" s="2" t="s">
        <v>13</v>
      </c>
      <c r="D223" s="2" t="s">
        <v>35</v>
      </c>
      <c r="E223" s="2" t="s">
        <v>20</v>
      </c>
      <c r="F223" s="2" t="s">
        <v>16</v>
      </c>
      <c r="G223" s="2">
        <v>1</v>
      </c>
      <c r="H223" s="2">
        <v>264</v>
      </c>
      <c r="I223" s="2">
        <v>401</v>
      </c>
      <c r="J223" s="2">
        <v>264</v>
      </c>
      <c r="K223" s="2">
        <v>401</v>
      </c>
      <c r="L223" s="10">
        <v>137</v>
      </c>
    </row>
    <row r="224" spans="1:12">
      <c r="A224" s="9">
        <v>45721</v>
      </c>
      <c r="B224" s="2" t="s">
        <v>30</v>
      </c>
      <c r="C224" s="2" t="s">
        <v>28</v>
      </c>
      <c r="D224" s="2" t="s">
        <v>49</v>
      </c>
      <c r="E224" s="2" t="s">
        <v>26</v>
      </c>
      <c r="F224" s="2" t="s">
        <v>16</v>
      </c>
      <c r="G224" s="2">
        <v>9</v>
      </c>
      <c r="H224" s="2">
        <v>500</v>
      </c>
      <c r="I224" s="2">
        <v>593</v>
      </c>
      <c r="J224" s="2">
        <v>4500</v>
      </c>
      <c r="K224" s="2">
        <v>5337</v>
      </c>
      <c r="L224" s="10">
        <v>837</v>
      </c>
    </row>
    <row r="225" spans="1:12">
      <c r="A225" s="9">
        <v>45733</v>
      </c>
      <c r="B225" s="2" t="s">
        <v>38</v>
      </c>
      <c r="C225" s="2" t="s">
        <v>13</v>
      </c>
      <c r="D225" s="2" t="s">
        <v>52</v>
      </c>
      <c r="E225" s="2" t="s">
        <v>15</v>
      </c>
      <c r="F225" s="2" t="s">
        <v>21</v>
      </c>
      <c r="G225" s="2">
        <v>1</v>
      </c>
      <c r="H225" s="2">
        <v>160</v>
      </c>
      <c r="I225" s="2">
        <v>399</v>
      </c>
      <c r="J225" s="2">
        <v>160</v>
      </c>
      <c r="K225" s="2">
        <v>399</v>
      </c>
      <c r="L225" s="10">
        <v>239</v>
      </c>
    </row>
    <row r="226" spans="1:12">
      <c r="A226" s="9">
        <v>45744</v>
      </c>
      <c r="B226" s="2" t="s">
        <v>12</v>
      </c>
      <c r="C226" s="2" t="s">
        <v>36</v>
      </c>
      <c r="D226" s="2" t="s">
        <v>45</v>
      </c>
      <c r="E226" s="2" t="s">
        <v>15</v>
      </c>
      <c r="F226" s="2" t="s">
        <v>16</v>
      </c>
      <c r="G226" s="2">
        <v>4</v>
      </c>
      <c r="H226" s="2">
        <v>382</v>
      </c>
      <c r="I226" s="2">
        <v>482</v>
      </c>
      <c r="J226" s="2">
        <v>1528</v>
      </c>
      <c r="K226" s="2">
        <v>1928</v>
      </c>
      <c r="L226" s="10">
        <v>400</v>
      </c>
    </row>
    <row r="227" spans="1:12">
      <c r="A227" s="9">
        <v>45750</v>
      </c>
      <c r="B227" s="2" t="s">
        <v>30</v>
      </c>
      <c r="C227" s="2" t="s">
        <v>28</v>
      </c>
      <c r="D227" s="2" t="s">
        <v>49</v>
      </c>
      <c r="E227" s="2" t="s">
        <v>22</v>
      </c>
      <c r="F227" s="2" t="s">
        <v>21</v>
      </c>
      <c r="G227" s="2">
        <v>9</v>
      </c>
      <c r="H227" s="2">
        <v>112</v>
      </c>
      <c r="I227" s="2">
        <v>361</v>
      </c>
      <c r="J227" s="2">
        <v>1008</v>
      </c>
      <c r="K227" s="2">
        <v>3249</v>
      </c>
      <c r="L227" s="10">
        <v>2241</v>
      </c>
    </row>
    <row r="228" spans="1:12">
      <c r="A228" s="9">
        <v>45762</v>
      </c>
      <c r="B228" s="2" t="s">
        <v>38</v>
      </c>
      <c r="C228" s="2" t="s">
        <v>33</v>
      </c>
      <c r="D228" s="2" t="s">
        <v>34</v>
      </c>
      <c r="E228" s="2" t="s">
        <v>20</v>
      </c>
      <c r="F228" s="2" t="s">
        <v>16</v>
      </c>
      <c r="G228" s="2">
        <v>1</v>
      </c>
      <c r="H228" s="2">
        <v>430</v>
      </c>
      <c r="I228" s="2">
        <v>711</v>
      </c>
      <c r="J228" s="2">
        <v>430</v>
      </c>
      <c r="K228" s="2">
        <v>711</v>
      </c>
      <c r="L228" s="10">
        <v>281</v>
      </c>
    </row>
    <row r="229" spans="1:12">
      <c r="A229" s="9">
        <v>45774</v>
      </c>
      <c r="B229" s="2" t="s">
        <v>46</v>
      </c>
      <c r="C229" s="2" t="s">
        <v>13</v>
      </c>
      <c r="D229" s="2" t="s">
        <v>53</v>
      </c>
      <c r="E229" s="2" t="s">
        <v>26</v>
      </c>
      <c r="F229" s="2" t="s">
        <v>21</v>
      </c>
      <c r="G229" s="2">
        <v>6</v>
      </c>
      <c r="H229" s="2">
        <v>385</v>
      </c>
      <c r="I229" s="2">
        <v>567</v>
      </c>
      <c r="J229" s="2">
        <v>2310</v>
      </c>
      <c r="K229" s="2">
        <v>3402</v>
      </c>
      <c r="L229" s="10">
        <v>1092</v>
      </c>
    </row>
    <row r="230" spans="1:12">
      <c r="A230" s="9">
        <v>45779</v>
      </c>
      <c r="B230" s="2" t="s">
        <v>32</v>
      </c>
      <c r="C230" s="2" t="s">
        <v>13</v>
      </c>
      <c r="D230" s="2" t="s">
        <v>14</v>
      </c>
      <c r="E230" s="2" t="s">
        <v>31</v>
      </c>
      <c r="F230" s="2" t="s">
        <v>21</v>
      </c>
      <c r="G230" s="2">
        <v>6</v>
      </c>
      <c r="H230" s="2">
        <v>105</v>
      </c>
      <c r="I230" s="2">
        <v>259</v>
      </c>
      <c r="J230" s="2">
        <v>630</v>
      </c>
      <c r="K230" s="2">
        <v>1554</v>
      </c>
      <c r="L230" s="10">
        <v>924</v>
      </c>
    </row>
    <row r="231" spans="1:12">
      <c r="A231" s="9">
        <v>45792</v>
      </c>
      <c r="B231" s="2" t="s">
        <v>30</v>
      </c>
      <c r="C231" s="2" t="s">
        <v>13</v>
      </c>
      <c r="D231" s="2" t="s">
        <v>35</v>
      </c>
      <c r="E231" s="2" t="s">
        <v>20</v>
      </c>
      <c r="F231" s="2" t="s">
        <v>21</v>
      </c>
      <c r="G231" s="2">
        <v>1</v>
      </c>
      <c r="H231" s="2">
        <v>236</v>
      </c>
      <c r="I231" s="2">
        <v>448</v>
      </c>
      <c r="J231" s="2">
        <v>236</v>
      </c>
      <c r="K231" s="2">
        <v>448</v>
      </c>
      <c r="L231" s="10">
        <v>212</v>
      </c>
    </row>
    <row r="232" spans="1:12">
      <c r="A232" s="9">
        <v>45805</v>
      </c>
      <c r="B232" s="2" t="s">
        <v>12</v>
      </c>
      <c r="C232" s="2" t="s">
        <v>18</v>
      </c>
      <c r="D232" s="2" t="s">
        <v>23</v>
      </c>
      <c r="E232" s="2" t="s">
        <v>15</v>
      </c>
      <c r="F232" s="2" t="s">
        <v>16</v>
      </c>
      <c r="G232" s="2">
        <v>1</v>
      </c>
      <c r="H232" s="2">
        <v>411</v>
      </c>
      <c r="I232" s="2">
        <v>466</v>
      </c>
      <c r="J232" s="2">
        <v>411</v>
      </c>
      <c r="K232" s="2">
        <v>466</v>
      </c>
      <c r="L232" s="10">
        <v>55</v>
      </c>
    </row>
    <row r="233" spans="1:12">
      <c r="A233" s="9">
        <v>45812</v>
      </c>
      <c r="B233" s="2" t="s">
        <v>17</v>
      </c>
      <c r="C233" s="2" t="s">
        <v>18</v>
      </c>
      <c r="D233" s="2" t="s">
        <v>25</v>
      </c>
      <c r="E233" s="2" t="s">
        <v>26</v>
      </c>
      <c r="F233" s="2" t="s">
        <v>21</v>
      </c>
      <c r="G233" s="2">
        <v>7</v>
      </c>
      <c r="H233" s="2">
        <v>492</v>
      </c>
      <c r="I233" s="2">
        <v>637</v>
      </c>
      <c r="J233" s="2">
        <v>3444</v>
      </c>
      <c r="K233" s="2">
        <v>4459</v>
      </c>
      <c r="L233" s="10">
        <v>1015</v>
      </c>
    </row>
    <row r="234" spans="1:12">
      <c r="A234" s="9">
        <v>45824</v>
      </c>
      <c r="B234" s="2" t="s">
        <v>30</v>
      </c>
      <c r="C234" s="2" t="s">
        <v>18</v>
      </c>
      <c r="D234" s="2" t="s">
        <v>48</v>
      </c>
      <c r="E234" s="2" t="s">
        <v>26</v>
      </c>
      <c r="F234" s="2" t="s">
        <v>21</v>
      </c>
      <c r="G234" s="2">
        <v>6</v>
      </c>
      <c r="H234" s="2">
        <v>416</v>
      </c>
      <c r="I234" s="2">
        <v>632</v>
      </c>
      <c r="J234" s="2">
        <v>2496</v>
      </c>
      <c r="K234" s="2">
        <v>3792</v>
      </c>
      <c r="L234" s="10">
        <v>1296</v>
      </c>
    </row>
    <row r="235" spans="1:12">
      <c r="A235" s="9">
        <v>45836</v>
      </c>
      <c r="B235" s="2" t="s">
        <v>17</v>
      </c>
      <c r="C235" s="2" t="s">
        <v>18</v>
      </c>
      <c r="D235" s="2" t="s">
        <v>23</v>
      </c>
      <c r="E235" s="2" t="s">
        <v>15</v>
      </c>
      <c r="F235" s="2" t="s">
        <v>16</v>
      </c>
      <c r="G235" s="2">
        <v>10</v>
      </c>
      <c r="H235" s="2">
        <v>448</v>
      </c>
      <c r="I235" s="2">
        <v>689</v>
      </c>
      <c r="J235" s="2">
        <v>4480</v>
      </c>
      <c r="K235" s="2">
        <v>6890</v>
      </c>
      <c r="L235" s="10">
        <v>2410</v>
      </c>
    </row>
    <row r="236" spans="1:12">
      <c r="A236" s="9">
        <v>45841</v>
      </c>
      <c r="B236" s="2" t="s">
        <v>46</v>
      </c>
      <c r="C236" s="2" t="s">
        <v>33</v>
      </c>
      <c r="D236" s="2" t="s">
        <v>55</v>
      </c>
      <c r="E236" s="2" t="s">
        <v>31</v>
      </c>
      <c r="F236" s="2" t="s">
        <v>21</v>
      </c>
      <c r="G236" s="2">
        <v>9</v>
      </c>
      <c r="H236" s="2">
        <v>232</v>
      </c>
      <c r="I236" s="2">
        <v>501</v>
      </c>
      <c r="J236" s="2">
        <v>2088</v>
      </c>
      <c r="K236" s="2">
        <v>4509</v>
      </c>
      <c r="L236" s="10">
        <v>2421</v>
      </c>
    </row>
    <row r="237" spans="1:12">
      <c r="A237" s="9">
        <v>45853</v>
      </c>
      <c r="B237" s="2" t="s">
        <v>38</v>
      </c>
      <c r="C237" s="2" t="s">
        <v>18</v>
      </c>
      <c r="D237" s="2" t="s">
        <v>25</v>
      </c>
      <c r="E237" s="2" t="s">
        <v>20</v>
      </c>
      <c r="F237" s="2" t="s">
        <v>21</v>
      </c>
      <c r="G237" s="2">
        <v>2</v>
      </c>
      <c r="H237" s="2">
        <v>144</v>
      </c>
      <c r="I237" s="2">
        <v>228</v>
      </c>
      <c r="J237" s="2">
        <v>288</v>
      </c>
      <c r="K237" s="2">
        <v>456</v>
      </c>
      <c r="L237" s="10">
        <v>168</v>
      </c>
    </row>
    <row r="238" spans="1:12">
      <c r="A238" s="9">
        <v>45865</v>
      </c>
      <c r="B238" s="2" t="s">
        <v>12</v>
      </c>
      <c r="C238" s="2" t="s">
        <v>18</v>
      </c>
      <c r="D238" s="2" t="s">
        <v>23</v>
      </c>
      <c r="E238" s="2" t="s">
        <v>20</v>
      </c>
      <c r="F238" s="2" t="s">
        <v>16</v>
      </c>
      <c r="G238" s="2">
        <v>7</v>
      </c>
      <c r="H238" s="2">
        <v>425</v>
      </c>
      <c r="I238" s="2">
        <v>618</v>
      </c>
      <c r="J238" s="2">
        <v>2975</v>
      </c>
      <c r="K238" s="2">
        <v>4326</v>
      </c>
      <c r="L238" s="10">
        <v>1351</v>
      </c>
    </row>
    <row r="239" spans="1:12">
      <c r="A239" s="9">
        <v>45871</v>
      </c>
      <c r="B239" s="2" t="s">
        <v>30</v>
      </c>
      <c r="C239" s="2" t="s">
        <v>33</v>
      </c>
      <c r="D239" s="2" t="s">
        <v>34</v>
      </c>
      <c r="E239" s="2" t="s">
        <v>26</v>
      </c>
      <c r="F239" s="2" t="s">
        <v>21</v>
      </c>
      <c r="G239" s="2">
        <v>6</v>
      </c>
      <c r="H239" s="2">
        <v>481</v>
      </c>
      <c r="I239" s="2">
        <v>649</v>
      </c>
      <c r="J239" s="2">
        <v>2886</v>
      </c>
      <c r="K239" s="2">
        <v>3894</v>
      </c>
      <c r="L239" s="10">
        <v>1008</v>
      </c>
    </row>
    <row r="240" spans="1:12">
      <c r="A240" s="9">
        <v>45883</v>
      </c>
      <c r="B240" s="2" t="s">
        <v>30</v>
      </c>
      <c r="C240" s="2" t="s">
        <v>18</v>
      </c>
      <c r="D240" s="2" t="s">
        <v>41</v>
      </c>
      <c r="E240" s="2" t="s">
        <v>20</v>
      </c>
      <c r="F240" s="2" t="s">
        <v>21</v>
      </c>
      <c r="G240" s="2">
        <v>7</v>
      </c>
      <c r="H240" s="2">
        <v>138</v>
      </c>
      <c r="I240" s="2">
        <v>381</v>
      </c>
      <c r="J240" s="2">
        <v>966</v>
      </c>
      <c r="K240" s="2">
        <v>2667</v>
      </c>
      <c r="L240" s="10">
        <v>1701</v>
      </c>
    </row>
    <row r="241" spans="1:12">
      <c r="A241" s="9">
        <v>45895</v>
      </c>
      <c r="B241" s="2" t="s">
        <v>30</v>
      </c>
      <c r="C241" s="2" t="s">
        <v>28</v>
      </c>
      <c r="D241" s="2" t="s">
        <v>51</v>
      </c>
      <c r="E241" s="2" t="s">
        <v>26</v>
      </c>
      <c r="F241" s="2" t="s">
        <v>21</v>
      </c>
      <c r="G241" s="2">
        <v>8</v>
      </c>
      <c r="H241" s="2">
        <v>458</v>
      </c>
      <c r="I241" s="2">
        <v>689</v>
      </c>
      <c r="J241" s="2">
        <v>3664</v>
      </c>
      <c r="K241" s="2">
        <v>5512</v>
      </c>
      <c r="L241" s="10">
        <v>1848</v>
      </c>
    </row>
    <row r="242" spans="1:12">
      <c r="A242" s="9">
        <v>45901</v>
      </c>
      <c r="B242" s="2" t="s">
        <v>24</v>
      </c>
      <c r="C242" s="2" t="s">
        <v>36</v>
      </c>
      <c r="D242" s="2" t="s">
        <v>44</v>
      </c>
      <c r="E242" s="2" t="s">
        <v>22</v>
      </c>
      <c r="F242" s="2" t="s">
        <v>16</v>
      </c>
      <c r="G242" s="2">
        <v>7</v>
      </c>
      <c r="H242" s="2">
        <v>259</v>
      </c>
      <c r="I242" s="2">
        <v>333</v>
      </c>
      <c r="J242" s="2">
        <v>1813</v>
      </c>
      <c r="K242" s="2">
        <v>2331</v>
      </c>
      <c r="L242" s="10">
        <v>518</v>
      </c>
    </row>
    <row r="243" spans="1:12">
      <c r="A243" s="9">
        <v>45913</v>
      </c>
      <c r="B243" s="2" t="s">
        <v>24</v>
      </c>
      <c r="C243" s="2" t="s">
        <v>18</v>
      </c>
      <c r="D243" s="2" t="s">
        <v>25</v>
      </c>
      <c r="E243" s="2" t="s">
        <v>31</v>
      </c>
      <c r="F243" s="2" t="s">
        <v>16</v>
      </c>
      <c r="G243" s="2">
        <v>4</v>
      </c>
      <c r="H243" s="2">
        <v>235</v>
      </c>
      <c r="I243" s="2">
        <v>482</v>
      </c>
      <c r="J243" s="2">
        <v>940</v>
      </c>
      <c r="K243" s="2">
        <v>1928</v>
      </c>
      <c r="L243" s="10">
        <v>988</v>
      </c>
    </row>
    <row r="244" spans="1:12">
      <c r="A244" s="9">
        <v>45925</v>
      </c>
      <c r="B244" s="2" t="s">
        <v>27</v>
      </c>
      <c r="C244" s="2" t="s">
        <v>13</v>
      </c>
      <c r="D244" s="2" t="s">
        <v>52</v>
      </c>
      <c r="E244" s="2" t="s">
        <v>15</v>
      </c>
      <c r="F244" s="2" t="s">
        <v>21</v>
      </c>
      <c r="G244" s="2">
        <v>9</v>
      </c>
      <c r="H244" s="2">
        <v>258</v>
      </c>
      <c r="I244" s="2">
        <v>375</v>
      </c>
      <c r="J244" s="2">
        <v>2322</v>
      </c>
      <c r="K244" s="2">
        <v>3375</v>
      </c>
      <c r="L244" s="10">
        <v>1053</v>
      </c>
    </row>
    <row r="245" spans="1:12">
      <c r="A245" s="9">
        <v>45932</v>
      </c>
      <c r="B245" s="2" t="s">
        <v>24</v>
      </c>
      <c r="C245" s="2" t="s">
        <v>13</v>
      </c>
      <c r="D245" s="2" t="s">
        <v>53</v>
      </c>
      <c r="E245" s="2" t="s">
        <v>20</v>
      </c>
      <c r="F245" s="2" t="s">
        <v>21</v>
      </c>
      <c r="G245" s="2">
        <v>4</v>
      </c>
      <c r="H245" s="2">
        <v>236</v>
      </c>
      <c r="I245" s="2">
        <v>529</v>
      </c>
      <c r="J245" s="2">
        <v>944</v>
      </c>
      <c r="K245" s="2">
        <v>2116</v>
      </c>
      <c r="L245" s="10">
        <v>1172</v>
      </c>
    </row>
    <row r="246" spans="1:12">
      <c r="A246" s="9">
        <v>45944</v>
      </c>
      <c r="B246" s="2" t="s">
        <v>17</v>
      </c>
      <c r="C246" s="2" t="s">
        <v>36</v>
      </c>
      <c r="D246" s="2" t="s">
        <v>50</v>
      </c>
      <c r="E246" s="2" t="s">
        <v>26</v>
      </c>
      <c r="F246" s="2" t="s">
        <v>21</v>
      </c>
      <c r="G246" s="2">
        <v>2</v>
      </c>
      <c r="H246" s="2">
        <v>377</v>
      </c>
      <c r="I246" s="2">
        <v>663</v>
      </c>
      <c r="J246" s="2">
        <v>754</v>
      </c>
      <c r="K246" s="2">
        <v>1326</v>
      </c>
      <c r="L246" s="10">
        <v>572</v>
      </c>
    </row>
    <row r="247" spans="1:12">
      <c r="A247" s="9">
        <v>45956</v>
      </c>
      <c r="B247" s="2" t="s">
        <v>24</v>
      </c>
      <c r="C247" s="2" t="s">
        <v>33</v>
      </c>
      <c r="D247" s="2" t="s">
        <v>42</v>
      </c>
      <c r="E247" s="2" t="s">
        <v>15</v>
      </c>
      <c r="F247" s="2" t="s">
        <v>21</v>
      </c>
      <c r="G247" s="2">
        <v>5</v>
      </c>
      <c r="H247" s="2">
        <v>388</v>
      </c>
      <c r="I247" s="2">
        <v>608</v>
      </c>
      <c r="J247" s="2">
        <v>1940</v>
      </c>
      <c r="K247" s="2">
        <v>3040</v>
      </c>
      <c r="L247" s="10">
        <v>1100</v>
      </c>
    </row>
    <row r="248" spans="1:12">
      <c r="A248" s="9">
        <v>45962</v>
      </c>
      <c r="B248" s="2" t="s">
        <v>17</v>
      </c>
      <c r="C248" s="2" t="s">
        <v>18</v>
      </c>
      <c r="D248" s="2" t="s">
        <v>25</v>
      </c>
      <c r="E248" s="2" t="s">
        <v>26</v>
      </c>
      <c r="F248" s="2" t="s">
        <v>21</v>
      </c>
      <c r="G248" s="2">
        <v>4</v>
      </c>
      <c r="H248" s="2">
        <v>369</v>
      </c>
      <c r="I248" s="2">
        <v>650</v>
      </c>
      <c r="J248" s="2">
        <v>1476</v>
      </c>
      <c r="K248" s="2">
        <v>2600</v>
      </c>
      <c r="L248" s="10">
        <v>1124</v>
      </c>
    </row>
    <row r="249" spans="1:12">
      <c r="A249" s="9">
        <v>45974</v>
      </c>
      <c r="B249" s="2" t="s">
        <v>24</v>
      </c>
      <c r="C249" s="2" t="s">
        <v>36</v>
      </c>
      <c r="D249" s="2" t="s">
        <v>44</v>
      </c>
      <c r="E249" s="2" t="s">
        <v>15</v>
      </c>
      <c r="F249" s="2" t="s">
        <v>16</v>
      </c>
      <c r="G249" s="2">
        <v>3</v>
      </c>
      <c r="H249" s="2">
        <v>172</v>
      </c>
      <c r="I249" s="2">
        <v>279</v>
      </c>
      <c r="J249" s="2">
        <v>516</v>
      </c>
      <c r="K249" s="2">
        <v>837</v>
      </c>
      <c r="L249" s="10">
        <v>321</v>
      </c>
    </row>
    <row r="250" spans="1:12">
      <c r="A250" s="9">
        <v>45986</v>
      </c>
      <c r="B250" s="2" t="s">
        <v>24</v>
      </c>
      <c r="C250" s="2" t="s">
        <v>13</v>
      </c>
      <c r="D250" s="2" t="s">
        <v>53</v>
      </c>
      <c r="E250" s="2" t="s">
        <v>15</v>
      </c>
      <c r="F250" s="2" t="s">
        <v>21</v>
      </c>
      <c r="G250" s="2">
        <v>4</v>
      </c>
      <c r="H250" s="2">
        <v>437</v>
      </c>
      <c r="I250" s="2">
        <v>574</v>
      </c>
      <c r="J250" s="2">
        <v>1748</v>
      </c>
      <c r="K250" s="2">
        <v>2296</v>
      </c>
      <c r="L250" s="10">
        <v>548</v>
      </c>
    </row>
    <row r="251" spans="1:12">
      <c r="A251" s="14">
        <v>45992</v>
      </c>
      <c r="B251" s="15" t="s">
        <v>17</v>
      </c>
      <c r="C251" s="15" t="s">
        <v>28</v>
      </c>
      <c r="D251" s="15" t="s">
        <v>49</v>
      </c>
      <c r="E251" s="15" t="s">
        <v>26</v>
      </c>
      <c r="F251" s="15" t="s">
        <v>21</v>
      </c>
      <c r="G251" s="15">
        <v>7</v>
      </c>
      <c r="H251" s="15">
        <v>468</v>
      </c>
      <c r="I251" s="15">
        <v>631</v>
      </c>
      <c r="J251" s="15">
        <v>3276</v>
      </c>
      <c r="K251" s="15">
        <v>4417</v>
      </c>
      <c r="L251" s="16">
        <v>1141</v>
      </c>
    </row>
    <row r="252" spans="1:12">
      <c r="A252" s="1"/>
    </row>
    <row r="253" spans="1:12">
      <c r="A253" s="1"/>
    </row>
    <row r="254" spans="1:12">
      <c r="A25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
  <sheetViews>
    <sheetView showGridLines="0" tabSelected="1" zoomScaleNormal="100" workbookViewId="0">
      <selection activeCell="V11" sqref="V11"/>
    </sheetView>
  </sheetViews>
  <sheetFormatPr defaultColWidth="8.77734375"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dimension ref="A13:Y72"/>
  <sheetViews>
    <sheetView zoomScale="63" zoomScaleNormal="95" workbookViewId="0"/>
  </sheetViews>
  <sheetFormatPr defaultRowHeight="14.4"/>
  <cols>
    <col min="1" max="1" width="14.109375" bestFit="1" customWidth="1"/>
    <col min="2" max="2" width="17.77734375" bestFit="1" customWidth="1"/>
    <col min="5" max="5" width="14.109375" bestFit="1" customWidth="1"/>
    <col min="6" max="6" width="21.21875" bestFit="1" customWidth="1"/>
    <col min="9" max="9" width="14.109375" bestFit="1" customWidth="1"/>
    <col min="10" max="10" width="13.33203125" bestFit="1" customWidth="1"/>
    <col min="13" max="13" width="14.109375" bestFit="1" customWidth="1"/>
    <col min="14" max="14" width="17.77734375" bestFit="1" customWidth="1"/>
    <col min="15" max="15" width="13.33203125" bestFit="1" customWidth="1"/>
    <col min="18" max="18" width="14.109375" bestFit="1" customWidth="1"/>
    <col min="19" max="19" width="17.77734375" bestFit="1" customWidth="1"/>
    <col min="20" max="20" width="13.33203125" bestFit="1" customWidth="1"/>
    <col min="23" max="23" width="14.21875" bestFit="1" customWidth="1"/>
    <col min="24" max="24" width="17.77734375" bestFit="1" customWidth="1"/>
    <col min="25" max="25" width="13.33203125" bestFit="1" customWidth="1"/>
  </cols>
  <sheetData>
    <row r="13" spans="1:25">
      <c r="B13">
        <f>GETPIVOTDATA("SALES PRICE",$A$15)</f>
        <v>660506</v>
      </c>
      <c r="E13">
        <f>GETPIVOTDATA("PURCHASE COST",$E$15)</f>
        <v>419039</v>
      </c>
      <c r="I13">
        <f>GETPIVOTDATA("SUM OF PROFIT",$I$15)</f>
        <v>241467</v>
      </c>
    </row>
    <row r="15" spans="1:25">
      <c r="A15" s="3" t="s">
        <v>57</v>
      </c>
      <c r="B15" t="s">
        <v>59</v>
      </c>
      <c r="E15" s="3" t="s">
        <v>57</v>
      </c>
      <c r="F15" t="s">
        <v>60</v>
      </c>
      <c r="I15" s="3" t="s">
        <v>57</v>
      </c>
      <c r="J15" t="s">
        <v>61</v>
      </c>
      <c r="M15" s="3" t="s">
        <v>57</v>
      </c>
      <c r="N15" t="s">
        <v>59</v>
      </c>
      <c r="O15" t="s">
        <v>61</v>
      </c>
      <c r="R15" s="3" t="s">
        <v>57</v>
      </c>
      <c r="S15" t="s">
        <v>59</v>
      </c>
      <c r="T15" t="s">
        <v>61</v>
      </c>
      <c r="W15" s="3" t="s">
        <v>57</v>
      </c>
      <c r="X15" t="s">
        <v>59</v>
      </c>
      <c r="Y15" t="s">
        <v>61</v>
      </c>
    </row>
    <row r="16" spans="1:25">
      <c r="A16" s="4" t="s">
        <v>13</v>
      </c>
      <c r="B16">
        <v>115823</v>
      </c>
      <c r="E16" s="4" t="s">
        <v>13</v>
      </c>
      <c r="F16">
        <v>75087</v>
      </c>
      <c r="I16" s="4" t="s">
        <v>13</v>
      </c>
      <c r="J16">
        <v>40736</v>
      </c>
      <c r="M16" s="4" t="s">
        <v>62</v>
      </c>
      <c r="N16">
        <v>68536</v>
      </c>
      <c r="O16" s="6">
        <v>0.10717406519317339</v>
      </c>
      <c r="R16" s="4" t="s">
        <v>49</v>
      </c>
      <c r="S16">
        <v>36613</v>
      </c>
      <c r="T16" s="6">
        <v>5.3009313902106704E-2</v>
      </c>
      <c r="W16" s="4" t="s">
        <v>31</v>
      </c>
      <c r="X16">
        <v>123240</v>
      </c>
      <c r="Y16" s="6">
        <v>0.20110408461611731</v>
      </c>
    </row>
    <row r="17" spans="1:25">
      <c r="A17" s="4" t="s">
        <v>36</v>
      </c>
      <c r="B17">
        <v>119017</v>
      </c>
      <c r="E17" s="4" t="s">
        <v>36</v>
      </c>
      <c r="F17">
        <v>76282</v>
      </c>
      <c r="I17" s="4" t="s">
        <v>36</v>
      </c>
      <c r="J17">
        <v>42735</v>
      </c>
      <c r="M17" s="4" t="s">
        <v>63</v>
      </c>
      <c r="N17">
        <v>60808</v>
      </c>
      <c r="O17" s="6">
        <v>8.6653662819350052E-2</v>
      </c>
      <c r="R17" s="4" t="s">
        <v>44</v>
      </c>
      <c r="S17">
        <v>16956</v>
      </c>
      <c r="T17" s="6">
        <v>2.802867472573892E-2</v>
      </c>
      <c r="W17" s="4" t="s">
        <v>26</v>
      </c>
      <c r="X17">
        <v>134769</v>
      </c>
      <c r="Y17" s="6">
        <v>0.20644228818016541</v>
      </c>
    </row>
    <row r="18" spans="1:25">
      <c r="A18" s="4" t="s">
        <v>33</v>
      </c>
      <c r="B18">
        <v>121602</v>
      </c>
      <c r="E18" s="4" t="s">
        <v>33</v>
      </c>
      <c r="F18">
        <v>80291</v>
      </c>
      <c r="I18" s="4" t="s">
        <v>33</v>
      </c>
      <c r="J18">
        <v>41311</v>
      </c>
      <c r="M18" s="4" t="s">
        <v>64</v>
      </c>
      <c r="N18">
        <v>56090</v>
      </c>
      <c r="O18" s="6">
        <v>6.7081630202056597E-2</v>
      </c>
      <c r="R18" s="4" t="s">
        <v>54</v>
      </c>
      <c r="S18">
        <v>31614</v>
      </c>
      <c r="T18" s="6">
        <v>4.8743720674046559E-2</v>
      </c>
      <c r="W18" s="4" t="s">
        <v>22</v>
      </c>
      <c r="X18">
        <v>118910</v>
      </c>
      <c r="Y18" s="6">
        <v>0.17333631510724032</v>
      </c>
    </row>
    <row r="19" spans="1:25">
      <c r="A19" s="4" t="s">
        <v>28</v>
      </c>
      <c r="B19">
        <v>137301</v>
      </c>
      <c r="E19" s="4" t="s">
        <v>28</v>
      </c>
      <c r="F19">
        <v>87358</v>
      </c>
      <c r="I19" s="4" t="s">
        <v>28</v>
      </c>
      <c r="J19">
        <v>49943</v>
      </c>
      <c r="M19" s="4" t="s">
        <v>65</v>
      </c>
      <c r="N19">
        <v>50294</v>
      </c>
      <c r="O19" s="6">
        <v>8.3348863405765597E-2</v>
      </c>
      <c r="R19" s="4" t="s">
        <v>14</v>
      </c>
      <c r="S19">
        <v>29790</v>
      </c>
      <c r="T19" s="6">
        <v>3.8266098473083279E-2</v>
      </c>
      <c r="W19" s="4" t="s">
        <v>15</v>
      </c>
      <c r="X19">
        <v>147924</v>
      </c>
      <c r="Y19" s="6">
        <v>0.21846463491905727</v>
      </c>
    </row>
    <row r="20" spans="1:25">
      <c r="A20" s="4" t="s">
        <v>18</v>
      </c>
      <c r="B20">
        <v>166763</v>
      </c>
      <c r="E20" s="4" t="s">
        <v>18</v>
      </c>
      <c r="F20">
        <v>100021</v>
      </c>
      <c r="I20" s="4" t="s">
        <v>18</v>
      </c>
      <c r="J20">
        <v>66742</v>
      </c>
      <c r="M20" s="4" t="s">
        <v>66</v>
      </c>
      <c r="N20">
        <v>39875</v>
      </c>
      <c r="O20" s="6">
        <v>5.8268831765831357E-2</v>
      </c>
      <c r="R20" s="4" t="s">
        <v>55</v>
      </c>
      <c r="S20">
        <v>23183</v>
      </c>
      <c r="T20" s="6">
        <v>3.0128340518580179E-2</v>
      </c>
      <c r="W20" s="4" t="s">
        <v>20</v>
      </c>
      <c r="X20">
        <v>135663</v>
      </c>
      <c r="Y20" s="6">
        <v>0.20065267717741969</v>
      </c>
    </row>
    <row r="21" spans="1:25">
      <c r="A21" s="4" t="s">
        <v>58</v>
      </c>
      <c r="B21">
        <v>660506</v>
      </c>
      <c r="E21" s="4" t="s">
        <v>58</v>
      </c>
      <c r="F21">
        <v>419039</v>
      </c>
      <c r="I21" s="4" t="s">
        <v>58</v>
      </c>
      <c r="J21">
        <v>241467</v>
      </c>
      <c r="M21" s="4" t="s">
        <v>67</v>
      </c>
      <c r="N21">
        <v>49740</v>
      </c>
      <c r="O21" s="6">
        <v>7.4482227385108526E-2</v>
      </c>
      <c r="R21" s="4" t="s">
        <v>52</v>
      </c>
      <c r="S21">
        <v>25554</v>
      </c>
      <c r="T21" s="6">
        <v>4.4006013244045773E-2</v>
      </c>
      <c r="W21" s="4" t="s">
        <v>58</v>
      </c>
      <c r="X21">
        <v>660506</v>
      </c>
      <c r="Y21" s="6">
        <v>1</v>
      </c>
    </row>
    <row r="22" spans="1:25">
      <c r="M22" s="4" t="s">
        <v>68</v>
      </c>
      <c r="N22">
        <v>53402</v>
      </c>
      <c r="O22" s="6">
        <v>9.4824551595041967E-2</v>
      </c>
      <c r="R22" s="4" t="s">
        <v>47</v>
      </c>
      <c r="S22">
        <v>33011</v>
      </c>
      <c r="T22" s="6">
        <v>5.1953268976713173E-2</v>
      </c>
    </row>
    <row r="23" spans="1:25">
      <c r="M23" s="4" t="s">
        <v>69</v>
      </c>
      <c r="N23">
        <v>57333</v>
      </c>
      <c r="O23" s="6">
        <v>0.10110284221032273</v>
      </c>
      <c r="R23" s="4" t="s">
        <v>42</v>
      </c>
      <c r="S23">
        <v>20121</v>
      </c>
      <c r="T23" s="6">
        <v>2.7146566611586678E-2</v>
      </c>
    </row>
    <row r="24" spans="1:25">
      <c r="M24" s="4" t="s">
        <v>70</v>
      </c>
      <c r="N24">
        <v>56717</v>
      </c>
      <c r="O24" s="6">
        <v>8.3816836255057633E-2</v>
      </c>
      <c r="R24" s="4" t="s">
        <v>40</v>
      </c>
      <c r="S24">
        <v>25680</v>
      </c>
      <c r="T24" s="6">
        <v>3.7251467074175766E-2</v>
      </c>
    </row>
    <row r="25" spans="1:25">
      <c r="M25" s="4" t="s">
        <v>71</v>
      </c>
      <c r="N25">
        <v>59149</v>
      </c>
      <c r="O25" s="6">
        <v>8.6811034219996933E-2</v>
      </c>
      <c r="R25" s="4" t="s">
        <v>37</v>
      </c>
      <c r="S25">
        <v>22120</v>
      </c>
      <c r="T25" s="6">
        <v>2.7539995113203874E-2</v>
      </c>
    </row>
    <row r="26" spans="1:25">
      <c r="M26" s="4" t="s">
        <v>72</v>
      </c>
      <c r="N26">
        <v>57895</v>
      </c>
      <c r="O26" s="6">
        <v>7.4838383712888298E-2</v>
      </c>
      <c r="R26" s="4" t="s">
        <v>43</v>
      </c>
      <c r="S26">
        <v>9664</v>
      </c>
      <c r="T26" s="6">
        <v>1.879345831935627E-2</v>
      </c>
    </row>
    <row r="27" spans="1:25">
      <c r="M27" s="4" t="s">
        <v>73</v>
      </c>
      <c r="N27">
        <v>50667</v>
      </c>
      <c r="O27" s="6">
        <v>8.1597071235406909E-2</v>
      </c>
      <c r="R27" s="4" t="s">
        <v>53</v>
      </c>
      <c r="S27">
        <v>33568</v>
      </c>
      <c r="T27" s="6">
        <v>4.6155375268670251E-2</v>
      </c>
    </row>
    <row r="28" spans="1:25">
      <c r="M28" s="4" t="s">
        <v>58</v>
      </c>
      <c r="N28">
        <v>660506</v>
      </c>
      <c r="O28" s="6">
        <v>1</v>
      </c>
      <c r="R28" s="4" t="s">
        <v>50</v>
      </c>
      <c r="S28">
        <v>23348</v>
      </c>
      <c r="T28" s="6">
        <v>2.8571191922705793E-2</v>
      </c>
    </row>
    <row r="29" spans="1:25">
      <c r="R29" s="4" t="s">
        <v>48</v>
      </c>
      <c r="S29">
        <v>30142</v>
      </c>
      <c r="T29" s="6">
        <v>5.5477560080673546E-2</v>
      </c>
    </row>
    <row r="30" spans="1:25">
      <c r="R30" s="4" t="s">
        <v>35</v>
      </c>
      <c r="S30">
        <v>17247</v>
      </c>
      <c r="T30" s="6">
        <v>2.1481196188299023E-2</v>
      </c>
    </row>
    <row r="31" spans="1:25">
      <c r="R31" s="4" t="s">
        <v>23</v>
      </c>
      <c r="S31">
        <v>49629</v>
      </c>
      <c r="T31" s="6">
        <v>7.8006518489068893E-2</v>
      </c>
    </row>
    <row r="32" spans="1:25">
      <c r="R32" s="4" t="s">
        <v>39</v>
      </c>
      <c r="S32">
        <v>23159</v>
      </c>
      <c r="T32" s="6">
        <v>4.2672497691195896E-2</v>
      </c>
    </row>
    <row r="33" spans="18:20">
      <c r="R33" s="4" t="s">
        <v>34</v>
      </c>
      <c r="S33">
        <v>29459</v>
      </c>
      <c r="T33" s="6">
        <v>3.3884547370862272E-2</v>
      </c>
    </row>
    <row r="34" spans="18:20">
      <c r="R34" s="4" t="s">
        <v>51</v>
      </c>
      <c r="S34">
        <v>28885</v>
      </c>
      <c r="T34" s="6">
        <v>4.483842512641479E-2</v>
      </c>
    </row>
    <row r="35" spans="18:20">
      <c r="R35" s="4" t="s">
        <v>25</v>
      </c>
      <c r="S35">
        <v>29956</v>
      </c>
      <c r="T35" s="6">
        <v>4.9166138644203973E-2</v>
      </c>
    </row>
    <row r="36" spans="18:20">
      <c r="R36" s="4" t="s">
        <v>41</v>
      </c>
      <c r="S36">
        <v>33514</v>
      </c>
      <c r="T36" s="6">
        <v>5.5158675926731189E-2</v>
      </c>
    </row>
    <row r="37" spans="18:20">
      <c r="R37" s="4" t="s">
        <v>29</v>
      </c>
      <c r="S37">
        <v>19372</v>
      </c>
      <c r="T37" s="6">
        <v>3.1209233559865324E-2</v>
      </c>
    </row>
    <row r="38" spans="18:20">
      <c r="R38" s="4" t="s">
        <v>45</v>
      </c>
      <c r="S38">
        <v>23582</v>
      </c>
      <c r="T38" s="6">
        <v>4.0887574699648398E-2</v>
      </c>
    </row>
    <row r="39" spans="18:20">
      <c r="R39" s="4" t="s">
        <v>56</v>
      </c>
      <c r="S39">
        <v>20817</v>
      </c>
      <c r="T39" s="6">
        <v>2.9030882066700625E-2</v>
      </c>
    </row>
    <row r="40" spans="18:20">
      <c r="R40" s="4" t="s">
        <v>19</v>
      </c>
      <c r="S40">
        <v>23522</v>
      </c>
      <c r="T40" s="6">
        <v>3.8593265332322844E-2</v>
      </c>
    </row>
    <row r="41" spans="18:20">
      <c r="R41" s="4" t="s">
        <v>58</v>
      </c>
      <c r="S41">
        <v>660506</v>
      </c>
      <c r="T41" s="6">
        <v>1</v>
      </c>
    </row>
    <row r="46" spans="18:20">
      <c r="R46" s="5" t="s">
        <v>57</v>
      </c>
      <c r="S46" s="5" t="s">
        <v>59</v>
      </c>
      <c r="T46" s="5" t="s">
        <v>61</v>
      </c>
    </row>
    <row r="47" spans="18:20">
      <c r="R47" s="4" t="s">
        <v>49</v>
      </c>
      <c r="S47">
        <f xml:space="preserve"> IFERROR(GETPIVOTDATA("SUM OF SALES PRICE",$R$15,"PRODUCT NAME",R47),"")</f>
        <v>36613</v>
      </c>
      <c r="T47" s="8"/>
    </row>
    <row r="48" spans="18:20">
      <c r="R48" s="4" t="s">
        <v>44</v>
      </c>
      <c r="S48">
        <f t="shared" ref="S48:S70" si="0" xml:space="preserve"> IFERROR(GETPIVOTDATA("SUM OF SALES PRICE",$R$15,"PRODUCT NAME",R48),"")</f>
        <v>16956</v>
      </c>
      <c r="T48" s="8">
        <f>IFERROR(GETPIVOTDATA("SUM OF PROFIT",$T$15,"PRODUCT NAME",R48),"")</f>
        <v>2.802867472573892E-2</v>
      </c>
    </row>
    <row r="49" spans="18:20">
      <c r="R49" s="4" t="s">
        <v>54</v>
      </c>
      <c r="S49">
        <f t="shared" si="0"/>
        <v>31614</v>
      </c>
      <c r="T49" s="8">
        <f>IFERROR(GETPIVOTDATA("SUM OF PROFIT",$T$15,"PRODUCT NAME",R49),"")</f>
        <v>4.8743720674046559E-2</v>
      </c>
    </row>
    <row r="50" spans="18:20">
      <c r="R50" s="4" t="s">
        <v>14</v>
      </c>
      <c r="S50">
        <f t="shared" si="0"/>
        <v>29790</v>
      </c>
      <c r="T50" s="8">
        <f t="shared" ref="T50:T71" si="1">GETPIVOTDATA("SUM OF PROFIT",$T$15,"PRODUCT NAME",R50)</f>
        <v>3.8266098473083279E-2</v>
      </c>
    </row>
    <row r="51" spans="18:20">
      <c r="R51" s="4" t="s">
        <v>55</v>
      </c>
      <c r="S51">
        <f t="shared" si="0"/>
        <v>23183</v>
      </c>
      <c r="T51" s="8">
        <f t="shared" si="1"/>
        <v>3.0128340518580179E-2</v>
      </c>
    </row>
    <row r="52" spans="18:20">
      <c r="R52" s="4" t="s">
        <v>52</v>
      </c>
      <c r="S52">
        <f t="shared" si="0"/>
        <v>25554</v>
      </c>
      <c r="T52" s="8">
        <f t="shared" si="1"/>
        <v>4.4006013244045773E-2</v>
      </c>
    </row>
    <row r="53" spans="18:20">
      <c r="R53" s="4" t="s">
        <v>47</v>
      </c>
      <c r="S53">
        <f t="shared" si="0"/>
        <v>33011</v>
      </c>
      <c r="T53" s="8">
        <f t="shared" si="1"/>
        <v>5.1953268976713173E-2</v>
      </c>
    </row>
    <row r="54" spans="18:20">
      <c r="R54" s="4" t="s">
        <v>42</v>
      </c>
      <c r="S54">
        <f t="shared" si="0"/>
        <v>20121</v>
      </c>
      <c r="T54" s="8">
        <f t="shared" si="1"/>
        <v>2.7146566611586678E-2</v>
      </c>
    </row>
    <row r="55" spans="18:20">
      <c r="R55" s="4" t="s">
        <v>40</v>
      </c>
      <c r="S55">
        <f t="shared" si="0"/>
        <v>25680</v>
      </c>
      <c r="T55" s="8">
        <f t="shared" si="1"/>
        <v>3.7251467074175766E-2</v>
      </c>
    </row>
    <row r="56" spans="18:20">
      <c r="R56" s="4" t="s">
        <v>37</v>
      </c>
      <c r="S56">
        <f t="shared" si="0"/>
        <v>22120</v>
      </c>
      <c r="T56" s="8">
        <f t="shared" si="1"/>
        <v>2.7539995113203874E-2</v>
      </c>
    </row>
    <row r="57" spans="18:20">
      <c r="R57" s="4" t="s">
        <v>43</v>
      </c>
      <c r="S57">
        <f t="shared" si="0"/>
        <v>9664</v>
      </c>
      <c r="T57" s="8">
        <f t="shared" si="1"/>
        <v>1.879345831935627E-2</v>
      </c>
    </row>
    <row r="58" spans="18:20">
      <c r="R58" s="4" t="s">
        <v>53</v>
      </c>
      <c r="S58">
        <f t="shared" si="0"/>
        <v>33568</v>
      </c>
      <c r="T58" s="8">
        <f t="shared" si="1"/>
        <v>4.6155375268670251E-2</v>
      </c>
    </row>
    <row r="59" spans="18:20">
      <c r="R59" s="4" t="s">
        <v>50</v>
      </c>
      <c r="S59">
        <f t="shared" si="0"/>
        <v>23348</v>
      </c>
      <c r="T59" s="8">
        <f t="shared" si="1"/>
        <v>2.8571191922705793E-2</v>
      </c>
    </row>
    <row r="60" spans="18:20">
      <c r="R60" s="4" t="s">
        <v>48</v>
      </c>
      <c r="S60">
        <f t="shared" si="0"/>
        <v>30142</v>
      </c>
      <c r="T60" s="8">
        <f t="shared" si="1"/>
        <v>5.5477560080673546E-2</v>
      </c>
    </row>
    <row r="61" spans="18:20">
      <c r="R61" s="4" t="s">
        <v>35</v>
      </c>
      <c r="S61">
        <f t="shared" si="0"/>
        <v>17247</v>
      </c>
      <c r="T61" s="8">
        <f t="shared" si="1"/>
        <v>2.1481196188299023E-2</v>
      </c>
    </row>
    <row r="62" spans="18:20">
      <c r="R62" s="4" t="s">
        <v>23</v>
      </c>
      <c r="S62">
        <f t="shared" si="0"/>
        <v>49629</v>
      </c>
      <c r="T62" s="8">
        <f t="shared" si="1"/>
        <v>7.8006518489068893E-2</v>
      </c>
    </row>
    <row r="63" spans="18:20">
      <c r="R63" s="4" t="s">
        <v>39</v>
      </c>
      <c r="S63">
        <f t="shared" si="0"/>
        <v>23159</v>
      </c>
      <c r="T63" s="8">
        <f t="shared" si="1"/>
        <v>4.2672497691195896E-2</v>
      </c>
    </row>
    <row r="64" spans="18:20">
      <c r="R64" s="4" t="s">
        <v>34</v>
      </c>
      <c r="S64">
        <f t="shared" si="0"/>
        <v>29459</v>
      </c>
      <c r="T64" s="8">
        <f t="shared" si="1"/>
        <v>3.3884547370862272E-2</v>
      </c>
    </row>
    <row r="65" spans="18:20">
      <c r="R65" s="4" t="s">
        <v>51</v>
      </c>
      <c r="S65">
        <f t="shared" si="0"/>
        <v>28885</v>
      </c>
      <c r="T65" s="8">
        <f t="shared" si="1"/>
        <v>4.483842512641479E-2</v>
      </c>
    </row>
    <row r="66" spans="18:20">
      <c r="R66" s="4" t="s">
        <v>25</v>
      </c>
      <c r="S66">
        <f t="shared" si="0"/>
        <v>29956</v>
      </c>
      <c r="T66" s="8">
        <f t="shared" si="1"/>
        <v>4.9166138644203973E-2</v>
      </c>
    </row>
    <row r="67" spans="18:20">
      <c r="R67" s="4" t="s">
        <v>41</v>
      </c>
      <c r="S67">
        <f t="shared" si="0"/>
        <v>33514</v>
      </c>
      <c r="T67" s="8">
        <f t="shared" si="1"/>
        <v>5.5158675926731189E-2</v>
      </c>
    </row>
    <row r="68" spans="18:20">
      <c r="R68" s="4" t="s">
        <v>29</v>
      </c>
      <c r="S68">
        <f t="shared" si="0"/>
        <v>19372</v>
      </c>
      <c r="T68" s="8">
        <f t="shared" si="1"/>
        <v>3.1209233559865324E-2</v>
      </c>
    </row>
    <row r="69" spans="18:20">
      <c r="R69" s="4" t="s">
        <v>45</v>
      </c>
      <c r="S69">
        <f t="shared" si="0"/>
        <v>23582</v>
      </c>
      <c r="T69" s="8">
        <f t="shared" si="1"/>
        <v>4.0887574699648398E-2</v>
      </c>
    </row>
    <row r="70" spans="18:20">
      <c r="R70" s="4" t="s">
        <v>56</v>
      </c>
      <c r="S70">
        <f t="shared" si="0"/>
        <v>20817</v>
      </c>
      <c r="T70" s="8">
        <f t="shared" si="1"/>
        <v>2.9030882066700625E-2</v>
      </c>
    </row>
    <row r="71" spans="18:20">
      <c r="R71" s="4" t="s">
        <v>19</v>
      </c>
      <c r="S71">
        <f t="shared" ref="S71" si="2">GETPIVOTDATA("SUM OF SALES PRICE",$R$15,"PRODUCT NAME",R71)</f>
        <v>23522</v>
      </c>
      <c r="T71" s="8">
        <f t="shared" si="1"/>
        <v>3.8593265332322844E-2</v>
      </c>
    </row>
    <row r="72" spans="18:20">
      <c r="R72" s="7"/>
      <c r="T72" s="8"/>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KPI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Cheedi</dc:creator>
  <cp:lastModifiedBy>HP</cp:lastModifiedBy>
  <dcterms:created xsi:type="dcterms:W3CDTF">2025-07-25T03:55:29Z</dcterms:created>
  <dcterms:modified xsi:type="dcterms:W3CDTF">2025-11-05T09:50:19Z</dcterms:modified>
</cp:coreProperties>
</file>